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uoc\Capstone-Grupo-2\clases\entregables\Fase 2\Evidencias Proyecto\Evidencias de documentación\"/>
    </mc:Choice>
  </mc:AlternateContent>
  <xr:revisionPtr revIDLastSave="0" documentId="13_ncr:1_{94BD4893-4587-4546-9A28-6BFAEE47BE5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istorias y tareas" sheetId="1" r:id="rId1"/>
    <sheet name="Resumen" sheetId="2" r:id="rId2"/>
  </sheets>
  <definedNames>
    <definedName name="_xlnm._FilterDatabase" localSheetId="0" hidden="1">'Historias y tareas'!$A$1:$G$56</definedName>
    <definedName name="_xlnm.Print_Titles" localSheetId="0">'Historias y tareas'!$1:$1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D47" i="2" s="1"/>
  <c r="C37" i="2"/>
  <c r="B37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F33" i="2" s="1"/>
  <c r="E29" i="2"/>
  <c r="E33" i="2" s="1"/>
  <c r="D29" i="2"/>
  <c r="C29" i="2"/>
  <c r="B29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F24" i="2" s="1"/>
  <c r="E20" i="2"/>
  <c r="D20" i="2"/>
  <c r="D24" i="2" s="1"/>
  <c r="C20" i="2"/>
  <c r="C24" i="2" s="1"/>
  <c r="B20" i="2"/>
  <c r="B24" i="2" s="1"/>
  <c r="F15" i="2"/>
  <c r="E15" i="2"/>
  <c r="D15" i="2"/>
  <c r="C15" i="2"/>
  <c r="B15" i="2"/>
  <c r="F14" i="2"/>
  <c r="F16" i="2" s="1"/>
  <c r="E14" i="2"/>
  <c r="E16" i="2" s="1"/>
  <c r="D14" i="2"/>
  <c r="C14" i="2"/>
  <c r="C16" i="2" s="1"/>
  <c r="B14" i="2"/>
  <c r="B10" i="2"/>
  <c r="C7" i="2" s="1"/>
  <c r="B9" i="2"/>
  <c r="B8" i="2"/>
  <c r="B7" i="2"/>
  <c r="B6" i="2"/>
  <c r="E47" i="2" l="1"/>
  <c r="B33" i="2"/>
  <c r="F47" i="2"/>
  <c r="C33" i="2"/>
  <c r="D33" i="2"/>
  <c r="E24" i="2"/>
  <c r="B16" i="2"/>
  <c r="D16" i="2"/>
  <c r="B47" i="2"/>
  <c r="C47" i="2"/>
  <c r="C8" i="2"/>
  <c r="C6" i="2"/>
  <c r="C9" i="2"/>
  <c r="C10" i="2" l="1"/>
</calcChain>
</file>

<file path=xl/sharedStrings.xml><?xml version="1.0" encoding="utf-8"?>
<sst xmlns="http://schemas.openxmlformats.org/spreadsheetml/2006/main" count="457" uniqueCount="155">
  <si>
    <t>Clave</t>
  </si>
  <si>
    <t>Tipo</t>
  </si>
  <si>
    <t>Resumen</t>
  </si>
  <si>
    <t>Épica</t>
  </si>
  <si>
    <t>Estado</t>
  </si>
  <si>
    <t>Sprint</t>
  </si>
  <si>
    <t>Responsable</t>
  </si>
  <si>
    <t>SCRUM-12</t>
  </si>
  <si>
    <t>Historia</t>
  </si>
  <si>
    <t>Como administrador de plataforma, quiero que la base de datos impida el acceso a datos de otra empresa.</t>
  </si>
  <si>
    <t>Fundaciones y arquitectura</t>
  </si>
  <si>
    <t>Finalizado</t>
  </si>
  <si>
    <t>Sprint 2, Sprint 3</t>
  </si>
  <si>
    <t>Manuel Jansen</t>
  </si>
  <si>
    <t>SCRUM-18</t>
  </si>
  <si>
    <t>Como administrador, quiero que el bot use mi propia clave de API y que quede cifrada, para controlar mi consumo sin exponer mi cuenta.</t>
  </si>
  <si>
    <t>Motor conversacional y agenta</t>
  </si>
  <si>
    <t>Sprint 2</t>
  </si>
  <si>
    <t>Exequiel Alvarado</t>
  </si>
  <si>
    <t>SCRUM-24</t>
  </si>
  <si>
    <t>Como administrador de empresa, quiero que el bot aprenda del contenido de mi sitio web, para no tener que copiar manualmente lo que ya está publicado.</t>
  </si>
  <si>
    <t>Ingesta y base de conocimiento</t>
  </si>
  <si>
    <t>SCRUM-29</t>
  </si>
  <si>
    <t>Como administrador de plataforma, quiero ver todos los ejecutivos de todas las empresas</t>
  </si>
  <si>
    <t>Administración de plataforma</t>
  </si>
  <si>
    <t>En curso</t>
  </si>
  <si>
    <t>Sprint 3</t>
  </si>
  <si>
    <t>Diana Guerrero</t>
  </si>
  <si>
    <t>SCRUM-35</t>
  </si>
  <si>
    <t>Como usuario final del chat, quiero hablar con una persona cuando el bot no me resuelve</t>
  </si>
  <si>
    <t>Chat público y widget</t>
  </si>
  <si>
    <t>Cristian Jorquera</t>
  </si>
  <si>
    <t>SCRUM-42</t>
  </si>
  <si>
    <t>Como administrador de empresa, quiero subir mis documentos y ver en qué va su procesamiento.</t>
  </si>
  <si>
    <t>Gestión documental y preguntas frecuentes</t>
  </si>
  <si>
    <t>SCRUM-48</t>
  </si>
  <si>
    <t>modificar</t>
  </si>
  <si>
    <t>Por hacer</t>
  </si>
  <si>
    <t>Sin sprint</t>
  </si>
  <si>
    <t>SCRUM-53</t>
  </si>
  <si>
    <t>Como usuario final del chat, quiero recibir respuestas basadas exclusivamente en la documentación de la empresa, para poder confiar en lo que el bot me dice.</t>
  </si>
  <si>
    <t>SCRUM-59</t>
  </si>
  <si>
    <t>Como usuario final del chat, quiero que mi consulta quede registrada cuando no hay nadie disponible, para recibir respuesta después en vez de quedarme sin solución.</t>
  </si>
  <si>
    <t>Tiketera</t>
  </si>
  <si>
    <t>SCRUM-73</t>
  </si>
  <si>
    <t>Modelo de datos multi-tenant y migraciones</t>
  </si>
  <si>
    <t>Sprint 1</t>
  </si>
  <si>
    <t>SCRUM-79</t>
  </si>
  <si>
    <t>Autenticación con roles y sesión renovable</t>
  </si>
  <si>
    <t>SCRUM-85</t>
  </si>
  <si>
    <t>Extracción de texto de documentos</t>
  </si>
  <si>
    <t>SCRUM-91</t>
  </si>
  <si>
    <t>Configuración de los dos agentes del bot</t>
  </si>
  <si>
    <t>SCRUM-96</t>
  </si>
  <si>
    <t>Sistema de diseño, navegación y acceso por rol</t>
  </si>
  <si>
    <t>Experiencia transversal</t>
  </si>
  <si>
    <t>SCRUM-102</t>
  </si>
  <si>
    <t>Como usuario final del chat, quiero escribir mi consulta y recibir respuesta, para resolver mi problema en el momento.</t>
  </si>
  <si>
    <t>SCRUM-103</t>
  </si>
  <si>
    <t>Pantalla de empresas por cliente</t>
  </si>
  <si>
    <t>SCRUM-114</t>
  </si>
  <si>
    <t>Pantalla de gestión de ejecutivos</t>
  </si>
  <si>
    <t>Derivación y consola de ejecutivo</t>
  </si>
  <si>
    <t>SCRUM-118</t>
  </si>
  <si>
    <t>Alta de empresa con aprovisionamiento completo</t>
  </si>
  <si>
    <t>Sin épica</t>
  </si>
  <si>
    <t>SCRUM-119</t>
  </si>
  <si>
    <t>Clasificador de intención técnico o comercial</t>
  </si>
  <si>
    <t>En revisión</t>
  </si>
  <si>
    <t>SCRUM-120</t>
  </si>
  <si>
    <t>Subida y almacenamiento de documentos</t>
  </si>
  <si>
    <t>SCRUM-121</t>
  </si>
  <si>
    <t>Estados, asignación y trazabilidad del ticket</t>
  </si>
  <si>
    <t>SCRUM-122</t>
  </si>
  <si>
    <t>Dashboard de la empresa con detalle</t>
  </si>
  <si>
    <t>SCRUM-123</t>
  </si>
  <si>
    <t>Como usuario final quiero ver el historia de conversaciones</t>
  </si>
  <si>
    <t>SCRUM-124</t>
  </si>
  <si>
    <t>Widget embebible para el sitio del cliente</t>
  </si>
  <si>
    <t>SCRUM-125</t>
  </si>
  <si>
    <t>Medición de consumo y actividad</t>
  </si>
  <si>
    <t>SCRUM-126</t>
  </si>
  <si>
    <t>Contenido editable con control de versión</t>
  </si>
  <si>
    <t>SCRUM-127</t>
  </si>
  <si>
    <t>Respuestas sugeridas al ejecutivo</t>
  </si>
  <si>
    <t>SCRUM-128</t>
  </si>
  <si>
    <t>Vista supervisora de tickets</t>
  </si>
  <si>
    <t>SCRUM-129</t>
  </si>
  <si>
    <t>Dashboard global de la plataforma</t>
  </si>
  <si>
    <t>SCRUM-130</t>
  </si>
  <si>
    <t>Consola de atención del ejecutivo</t>
  </si>
  <si>
    <t>SCRUM-131</t>
  </si>
  <si>
    <t>Pantalla de agentes del bot con vista previa</t>
  </si>
  <si>
    <t>SCRUM-132</t>
  </si>
  <si>
    <t>Troceo y vectorización del contenido</t>
  </si>
  <si>
    <t>SCRUM-137</t>
  </si>
  <si>
    <t>Como administrador de empresa, quiero dar de alta a mis ejecutivos indicando qué derivaciones reciben</t>
  </si>
  <si>
    <t>SCRUM-141</t>
  </si>
  <si>
    <t>Como administrador de plataforma, quiero consultar y ajustar los datos de cada empresa y los valores por defecto del sistema, para administrar la plataforma sin tocar la base de datos.</t>
  </si>
  <si>
    <t>SCRUM-145</t>
  </si>
  <si>
    <t>Como usuario final del chat, quiero que el bot busque solo en la documentación de la empresa a la que consulto</t>
  </si>
  <si>
    <t>SCRUM-151</t>
  </si>
  <si>
    <t>Como administrador de plataforma, quiero modificar y desactivar empresas cliente.</t>
  </si>
  <si>
    <t>SCRUM-156</t>
  </si>
  <si>
    <t>Tarea</t>
  </si>
  <si>
    <t>Recuperar el contraste del modo oscuro tras el rediseño Aurora</t>
  </si>
  <si>
    <t>SCRUM-157</t>
  </si>
  <si>
    <t>Supabase tiene columnas que el modelo no conoce, y dos rompen todo inserto</t>
  </si>
  <si>
    <t>SCRUM-158</t>
  </si>
  <si>
    <t>La pantalla de configuración sigue atada a DeepSeek: debe servir para cualquier proveedor</t>
  </si>
  <si>
    <t>SCRUM-159</t>
  </si>
  <si>
    <t>La empresa no tiene forma evidente de conversar con su propio bot</t>
  </si>
  <si>
    <t>SCRUM-160</t>
  </si>
  <si>
    <t>Conocimiento de la empresa de ejemplo, favicon y documentación al día</t>
  </si>
  <si>
    <t>SCRUM-161</t>
  </si>
  <si>
    <t>[SEGURIDAD] Un ejecutivo eliminado puede reactivar su cuenta con el link de invitación</t>
  </si>
  <si>
    <t>SCRUM-175</t>
  </si>
  <si>
    <t>CI: correr las pruebas del backend también en PostgreSQL</t>
  </si>
  <si>
    <t>SCRUM-176</t>
  </si>
  <si>
    <t>Pruebas: mover a conftest los helpers repetidos de derivación</t>
  </si>
  <si>
    <t>SCRUM-177</t>
  </si>
  <si>
    <t>Como usuario final, quiero ingresar al chat y ver mis conversaciones anteriores</t>
  </si>
  <si>
    <t>SCRUM-178</t>
  </si>
  <si>
    <t>Motor conversacional como grafo de LangGraph</t>
  </si>
  <si>
    <t>SCRUM-179</t>
  </si>
  <si>
    <t>Datos de demostración: las cuatro empresas iniciales en producción</t>
  </si>
  <si>
    <t>SCRUM-182</t>
  </si>
  <si>
    <t>Leer archivos .txt y .md que no vienen en UTF-8</t>
  </si>
  <si>
    <t>SCRUM-183</t>
  </si>
  <si>
    <t>El asistente responde en el idioma en que le escriben</t>
  </si>
  <si>
    <t>SCRUM-184</t>
  </si>
  <si>
    <t>Elegir qué se escanea del sitio: una página, una sección, el sitio completo o una lista de páginas</t>
  </si>
  <si>
    <t>SCRUM-185</t>
  </si>
  <si>
    <t>Traducir los paneles de administración a inglés y portugués</t>
  </si>
  <si>
    <t>SCRUM-186</t>
  </si>
  <si>
    <t>Avisar al usuario cuando su ticket se resuelve</t>
  </si>
  <si>
    <t>SCRUM-187</t>
  </si>
  <si>
    <t>Ver y editar las páginas que trajo el escaneo del sitio</t>
  </si>
  <si>
    <t>SCRUM-188</t>
  </si>
  <si>
    <t>Descripción de la empresa en las instrucciones del bot</t>
  </si>
  <si>
    <t>SCRUM-189</t>
  </si>
  <si>
    <t>WellQ: alinear FAQ y documentos con su negocio real</t>
  </si>
  <si>
    <t>Backlog de Jira · proyecto SCRUM («Chat-bot»)</t>
  </si>
  <si>
    <t>Fuente: exportación de Jira del 16-10-2026 (historias-jira.csv): historias y tareas; no incluye épicas ni subtareas. Todas las cifras son fórmulas COUNTIF/COUNTIFS sobre la hoja «Historias y tareas».</t>
  </si>
  <si>
    <t>Por estado</t>
  </si>
  <si>
    <t>Cantidad</t>
  </si>
  <si>
    <t>% del total</t>
  </si>
  <si>
    <t>Total historias y tareas</t>
  </si>
  <si>
    <t>Por tipo</t>
  </si>
  <si>
    <t>Total</t>
  </si>
  <si>
    <t>Por sprint</t>
  </si>
  <si>
    <t>Una incidencia que pasó por más de un sprint cuenta en cada uno (SCRUM-12); por eso el total de esta tabla puede superar el de historias y tareas.</t>
  </si>
  <si>
    <t>Por responsable</t>
  </si>
  <si>
    <t>Por épica</t>
  </si>
  <si>
    <t>Los nombres de épica, estado y resumen se copian tal como están en Jira.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</si>
</sst>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3" fillId="0" borderId="0" xfId="0" applyFont="1"/>
    <xf numFmtId="0" fontId="5" fillId="0" borderId="0" xfId="0" applyFont="1"/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6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6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" width="78" customWidth="1"/>
    <col min="4" max="4" width="36" customWidth="1"/>
    <col min="5" max="5" width="13" customWidth="1"/>
    <col min="6" max="6" width="16" customWidth="1"/>
    <col min="7" max="7" width="19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2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5.5" x14ac:dyDescent="0.25">
      <c r="A3" s="2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2" t="s">
        <v>17</v>
      </c>
      <c r="G3" s="2" t="s">
        <v>18</v>
      </c>
    </row>
    <row r="4" spans="1:7" ht="25.5" x14ac:dyDescent="0.25">
      <c r="A4" s="2" t="s">
        <v>19</v>
      </c>
      <c r="B4" s="2" t="s">
        <v>8</v>
      </c>
      <c r="C4" s="3" t="s">
        <v>20</v>
      </c>
      <c r="D4" s="3" t="s">
        <v>21</v>
      </c>
      <c r="E4" s="2" t="s">
        <v>11</v>
      </c>
      <c r="F4" s="2" t="s">
        <v>17</v>
      </c>
      <c r="G4" s="2" t="s">
        <v>18</v>
      </c>
    </row>
    <row r="5" spans="1:7" x14ac:dyDescent="0.25">
      <c r="A5" s="4" t="s">
        <v>22</v>
      </c>
      <c r="B5" s="4" t="s">
        <v>8</v>
      </c>
      <c r="C5" s="5" t="s">
        <v>23</v>
      </c>
      <c r="D5" s="5" t="s">
        <v>24</v>
      </c>
      <c r="E5" s="4" t="s">
        <v>25</v>
      </c>
      <c r="F5" s="4" t="s">
        <v>26</v>
      </c>
      <c r="G5" s="4" t="s">
        <v>27</v>
      </c>
    </row>
    <row r="6" spans="1:7" x14ac:dyDescent="0.25">
      <c r="A6" s="4" t="s">
        <v>28</v>
      </c>
      <c r="B6" s="4" t="s">
        <v>8</v>
      </c>
      <c r="C6" s="5" t="s">
        <v>29</v>
      </c>
      <c r="D6" s="5" t="s">
        <v>30</v>
      </c>
      <c r="E6" s="4" t="s">
        <v>25</v>
      </c>
      <c r="F6" s="4" t="s">
        <v>26</v>
      </c>
      <c r="G6" s="4" t="s">
        <v>31</v>
      </c>
    </row>
    <row r="7" spans="1:7" ht="25.5" x14ac:dyDescent="0.25">
      <c r="A7" s="4" t="s">
        <v>32</v>
      </c>
      <c r="B7" s="4" t="s">
        <v>8</v>
      </c>
      <c r="C7" s="5" t="s">
        <v>33</v>
      </c>
      <c r="D7" s="5" t="s">
        <v>34</v>
      </c>
      <c r="E7" s="4" t="s">
        <v>25</v>
      </c>
      <c r="F7" s="4" t="s">
        <v>26</v>
      </c>
      <c r="G7" s="4" t="s">
        <v>27</v>
      </c>
    </row>
    <row r="8" spans="1:7" x14ac:dyDescent="0.25">
      <c r="A8" s="6" t="s">
        <v>35</v>
      </c>
      <c r="B8" s="6" t="s">
        <v>8</v>
      </c>
      <c r="C8" s="7" t="s">
        <v>36</v>
      </c>
      <c r="D8" s="7" t="s">
        <v>24</v>
      </c>
      <c r="E8" s="6" t="s">
        <v>37</v>
      </c>
      <c r="F8" s="6" t="s">
        <v>38</v>
      </c>
      <c r="G8" s="6" t="s">
        <v>13</v>
      </c>
    </row>
    <row r="9" spans="1:7" ht="25.5" x14ac:dyDescent="0.25">
      <c r="A9" s="2" t="s">
        <v>39</v>
      </c>
      <c r="B9" s="2" t="s">
        <v>8</v>
      </c>
      <c r="C9" s="3" t="s">
        <v>40</v>
      </c>
      <c r="D9" s="3" t="s">
        <v>16</v>
      </c>
      <c r="E9" s="2" t="s">
        <v>11</v>
      </c>
      <c r="F9" s="2" t="s">
        <v>17</v>
      </c>
      <c r="G9" s="2" t="s">
        <v>18</v>
      </c>
    </row>
    <row r="10" spans="1:7" ht="25.5" x14ac:dyDescent="0.25">
      <c r="A10" s="4" t="s">
        <v>41</v>
      </c>
      <c r="B10" s="4" t="s">
        <v>8</v>
      </c>
      <c r="C10" s="5" t="s">
        <v>42</v>
      </c>
      <c r="D10" s="5" t="s">
        <v>43</v>
      </c>
      <c r="E10" s="4" t="s">
        <v>25</v>
      </c>
      <c r="F10" s="4" t="s">
        <v>38</v>
      </c>
      <c r="G10" s="4" t="s">
        <v>31</v>
      </c>
    </row>
    <row r="11" spans="1:7" x14ac:dyDescent="0.25">
      <c r="A11" s="2" t="s">
        <v>44</v>
      </c>
      <c r="B11" s="2" t="s">
        <v>8</v>
      </c>
      <c r="C11" s="3" t="s">
        <v>45</v>
      </c>
      <c r="D11" s="3" t="s">
        <v>10</v>
      </c>
      <c r="E11" s="2" t="s">
        <v>11</v>
      </c>
      <c r="F11" s="2" t="s">
        <v>46</v>
      </c>
      <c r="G11" s="2" t="s">
        <v>13</v>
      </c>
    </row>
    <row r="12" spans="1:7" x14ac:dyDescent="0.25">
      <c r="A12" s="2" t="s">
        <v>47</v>
      </c>
      <c r="B12" s="2" t="s">
        <v>8</v>
      </c>
      <c r="C12" s="3" t="s">
        <v>48</v>
      </c>
      <c r="D12" s="3" t="s">
        <v>10</v>
      </c>
      <c r="E12" s="2" t="s">
        <v>11</v>
      </c>
      <c r="F12" s="2" t="s">
        <v>46</v>
      </c>
      <c r="G12" s="2" t="s">
        <v>31</v>
      </c>
    </row>
    <row r="13" spans="1:7" x14ac:dyDescent="0.25">
      <c r="A13" s="2" t="s">
        <v>49</v>
      </c>
      <c r="B13" s="2" t="s">
        <v>8</v>
      </c>
      <c r="C13" s="3" t="s">
        <v>50</v>
      </c>
      <c r="D13" s="3" t="s">
        <v>21</v>
      </c>
      <c r="E13" s="2" t="s">
        <v>11</v>
      </c>
      <c r="F13" s="2" t="s">
        <v>46</v>
      </c>
      <c r="G13" s="2" t="s">
        <v>18</v>
      </c>
    </row>
    <row r="14" spans="1:7" x14ac:dyDescent="0.25">
      <c r="A14" s="2" t="s">
        <v>51</v>
      </c>
      <c r="B14" s="2" t="s">
        <v>8</v>
      </c>
      <c r="C14" s="3" t="s">
        <v>52</v>
      </c>
      <c r="D14" s="3" t="s">
        <v>16</v>
      </c>
      <c r="E14" s="2" t="s">
        <v>11</v>
      </c>
      <c r="F14" s="2" t="s">
        <v>46</v>
      </c>
      <c r="G14" s="2" t="s">
        <v>18</v>
      </c>
    </row>
    <row r="15" spans="1:7" x14ac:dyDescent="0.25">
      <c r="A15" s="2" t="s">
        <v>53</v>
      </c>
      <c r="B15" s="2" t="s">
        <v>8</v>
      </c>
      <c r="C15" s="3" t="s">
        <v>54</v>
      </c>
      <c r="D15" s="3" t="s">
        <v>55</v>
      </c>
      <c r="E15" s="2" t="s">
        <v>11</v>
      </c>
      <c r="F15" s="2" t="s">
        <v>46</v>
      </c>
      <c r="G15" s="2" t="s">
        <v>27</v>
      </c>
    </row>
    <row r="16" spans="1:7" ht="25.5" x14ac:dyDescent="0.25">
      <c r="A16" s="2" t="s">
        <v>56</v>
      </c>
      <c r="B16" s="2" t="s">
        <v>8</v>
      </c>
      <c r="C16" s="3" t="s">
        <v>57</v>
      </c>
      <c r="D16" s="3" t="s">
        <v>30</v>
      </c>
      <c r="E16" s="2" t="s">
        <v>11</v>
      </c>
      <c r="F16" s="2" t="s">
        <v>26</v>
      </c>
      <c r="G16" s="2" t="s">
        <v>31</v>
      </c>
    </row>
    <row r="17" spans="1:7" x14ac:dyDescent="0.25">
      <c r="A17" s="2" t="s">
        <v>58</v>
      </c>
      <c r="B17" s="2" t="s">
        <v>8</v>
      </c>
      <c r="C17" s="3" t="s">
        <v>59</v>
      </c>
      <c r="D17" s="3" t="s">
        <v>24</v>
      </c>
      <c r="E17" s="2" t="s">
        <v>11</v>
      </c>
      <c r="F17" s="2" t="s">
        <v>46</v>
      </c>
      <c r="G17" s="2" t="s">
        <v>27</v>
      </c>
    </row>
    <row r="18" spans="1:7" x14ac:dyDescent="0.25">
      <c r="A18" s="6" t="s">
        <v>60</v>
      </c>
      <c r="B18" s="6" t="s">
        <v>8</v>
      </c>
      <c r="C18" s="7" t="s">
        <v>61</v>
      </c>
      <c r="D18" s="7" t="s">
        <v>62</v>
      </c>
      <c r="E18" s="6" t="s">
        <v>37</v>
      </c>
      <c r="F18" s="6" t="s">
        <v>38</v>
      </c>
      <c r="G18" s="6" t="s">
        <v>27</v>
      </c>
    </row>
    <row r="19" spans="1:7" x14ac:dyDescent="0.25">
      <c r="A19" s="6" t="s">
        <v>63</v>
      </c>
      <c r="B19" s="6" t="s">
        <v>8</v>
      </c>
      <c r="C19" s="7" t="s">
        <v>64</v>
      </c>
      <c r="D19" s="7" t="s">
        <v>65</v>
      </c>
      <c r="E19" s="6" t="s">
        <v>37</v>
      </c>
      <c r="F19" s="6" t="s">
        <v>38</v>
      </c>
      <c r="G19" s="6" t="s">
        <v>27</v>
      </c>
    </row>
    <row r="20" spans="1:7" x14ac:dyDescent="0.25">
      <c r="A20" s="8" t="s">
        <v>66</v>
      </c>
      <c r="B20" s="8" t="s">
        <v>8</v>
      </c>
      <c r="C20" s="9" t="s">
        <v>67</v>
      </c>
      <c r="D20" s="9" t="s">
        <v>65</v>
      </c>
      <c r="E20" s="8" t="s">
        <v>68</v>
      </c>
      <c r="F20" s="8" t="s">
        <v>38</v>
      </c>
      <c r="G20" s="8" t="s">
        <v>18</v>
      </c>
    </row>
    <row r="21" spans="1:7" x14ac:dyDescent="0.25">
      <c r="A21" s="4" t="s">
        <v>69</v>
      </c>
      <c r="B21" s="4" t="s">
        <v>8</v>
      </c>
      <c r="C21" s="5" t="s">
        <v>70</v>
      </c>
      <c r="D21" s="5" t="s">
        <v>65</v>
      </c>
      <c r="E21" s="4" t="s">
        <v>25</v>
      </c>
      <c r="F21" s="4" t="s">
        <v>38</v>
      </c>
      <c r="G21" s="4" t="s">
        <v>27</v>
      </c>
    </row>
    <row r="22" spans="1:7" x14ac:dyDescent="0.25">
      <c r="A22" s="6" t="s">
        <v>71</v>
      </c>
      <c r="B22" s="6" t="s">
        <v>8</v>
      </c>
      <c r="C22" s="7" t="s">
        <v>72</v>
      </c>
      <c r="D22" s="7" t="s">
        <v>65</v>
      </c>
      <c r="E22" s="6" t="s">
        <v>37</v>
      </c>
      <c r="F22" s="6" t="s">
        <v>38</v>
      </c>
      <c r="G22" s="6" t="s">
        <v>27</v>
      </c>
    </row>
    <row r="23" spans="1:7" x14ac:dyDescent="0.25">
      <c r="A23" s="6" t="s">
        <v>73</v>
      </c>
      <c r="B23" s="6" t="s">
        <v>8</v>
      </c>
      <c r="C23" s="7" t="s">
        <v>74</v>
      </c>
      <c r="D23" s="7" t="s">
        <v>65</v>
      </c>
      <c r="E23" s="6" t="s">
        <v>37</v>
      </c>
      <c r="F23" s="6" t="s">
        <v>38</v>
      </c>
      <c r="G23" s="6" t="s">
        <v>27</v>
      </c>
    </row>
    <row r="24" spans="1:7" x14ac:dyDescent="0.25">
      <c r="A24" s="6" t="s">
        <v>75</v>
      </c>
      <c r="B24" s="6" t="s">
        <v>8</v>
      </c>
      <c r="C24" s="7" t="s">
        <v>76</v>
      </c>
      <c r="D24" s="7" t="s">
        <v>30</v>
      </c>
      <c r="E24" s="6" t="s">
        <v>37</v>
      </c>
      <c r="F24" s="6" t="s">
        <v>26</v>
      </c>
      <c r="G24" s="6" t="s">
        <v>27</v>
      </c>
    </row>
    <row r="25" spans="1:7" x14ac:dyDescent="0.25">
      <c r="A25" s="6" t="s">
        <v>77</v>
      </c>
      <c r="B25" s="6" t="s">
        <v>8</v>
      </c>
      <c r="C25" s="7" t="s">
        <v>78</v>
      </c>
      <c r="D25" s="7" t="s">
        <v>65</v>
      </c>
      <c r="E25" s="6" t="s">
        <v>37</v>
      </c>
      <c r="F25" s="6" t="s">
        <v>38</v>
      </c>
      <c r="G25" s="6" t="s">
        <v>27</v>
      </c>
    </row>
    <row r="26" spans="1:7" x14ac:dyDescent="0.25">
      <c r="A26" s="6" t="s">
        <v>79</v>
      </c>
      <c r="B26" s="6" t="s">
        <v>8</v>
      </c>
      <c r="C26" s="7" t="s">
        <v>80</v>
      </c>
      <c r="D26" s="7" t="s">
        <v>65</v>
      </c>
      <c r="E26" s="6" t="s">
        <v>37</v>
      </c>
      <c r="F26" s="6" t="s">
        <v>38</v>
      </c>
      <c r="G26" s="6" t="s">
        <v>27</v>
      </c>
    </row>
    <row r="27" spans="1:7" x14ac:dyDescent="0.25">
      <c r="A27" s="4" t="s">
        <v>81</v>
      </c>
      <c r="B27" s="4" t="s">
        <v>8</v>
      </c>
      <c r="C27" s="5" t="s">
        <v>82</v>
      </c>
      <c r="D27" s="5" t="s">
        <v>65</v>
      </c>
      <c r="E27" s="4" t="s">
        <v>25</v>
      </c>
      <c r="F27" s="4" t="s">
        <v>38</v>
      </c>
      <c r="G27" s="4" t="s">
        <v>27</v>
      </c>
    </row>
    <row r="28" spans="1:7" x14ac:dyDescent="0.25">
      <c r="A28" s="6" t="s">
        <v>83</v>
      </c>
      <c r="B28" s="6" t="s">
        <v>8</v>
      </c>
      <c r="C28" s="7" t="s">
        <v>84</v>
      </c>
      <c r="D28" s="7" t="s">
        <v>65</v>
      </c>
      <c r="E28" s="6" t="s">
        <v>37</v>
      </c>
      <c r="F28" s="6" t="s">
        <v>38</v>
      </c>
      <c r="G28" s="6" t="s">
        <v>27</v>
      </c>
    </row>
    <row r="29" spans="1:7" x14ac:dyDescent="0.25">
      <c r="A29" s="8" t="s">
        <v>85</v>
      </c>
      <c r="B29" s="8" t="s">
        <v>8</v>
      </c>
      <c r="C29" s="9" t="s">
        <v>86</v>
      </c>
      <c r="D29" s="9" t="s">
        <v>65</v>
      </c>
      <c r="E29" s="8" t="s">
        <v>68</v>
      </c>
      <c r="F29" s="8" t="s">
        <v>38</v>
      </c>
      <c r="G29" s="8" t="s">
        <v>18</v>
      </c>
    </row>
    <row r="30" spans="1:7" x14ac:dyDescent="0.25">
      <c r="A30" s="6" t="s">
        <v>87</v>
      </c>
      <c r="B30" s="6" t="s">
        <v>8</v>
      </c>
      <c r="C30" s="7" t="s">
        <v>88</v>
      </c>
      <c r="D30" s="7" t="s">
        <v>65</v>
      </c>
      <c r="E30" s="6" t="s">
        <v>37</v>
      </c>
      <c r="F30" s="6" t="s">
        <v>38</v>
      </c>
      <c r="G30" s="6" t="s">
        <v>27</v>
      </c>
    </row>
    <row r="31" spans="1:7" x14ac:dyDescent="0.25">
      <c r="A31" s="6" t="s">
        <v>89</v>
      </c>
      <c r="B31" s="6" t="s">
        <v>8</v>
      </c>
      <c r="C31" s="7" t="s">
        <v>90</v>
      </c>
      <c r="D31" s="7" t="s">
        <v>65</v>
      </c>
      <c r="E31" s="6" t="s">
        <v>37</v>
      </c>
      <c r="F31" s="6" t="s">
        <v>38</v>
      </c>
      <c r="G31" s="6" t="s">
        <v>27</v>
      </c>
    </row>
    <row r="32" spans="1:7" x14ac:dyDescent="0.25">
      <c r="A32" s="4" t="s">
        <v>91</v>
      </c>
      <c r="B32" s="4" t="s">
        <v>8</v>
      </c>
      <c r="C32" s="5" t="s">
        <v>92</v>
      </c>
      <c r="D32" s="5" t="s">
        <v>65</v>
      </c>
      <c r="E32" s="4" t="s">
        <v>25</v>
      </c>
      <c r="F32" s="4" t="s">
        <v>38</v>
      </c>
      <c r="G32" s="4" t="s">
        <v>27</v>
      </c>
    </row>
    <row r="33" spans="1:7" x14ac:dyDescent="0.25">
      <c r="A33" s="2" t="s">
        <v>93</v>
      </c>
      <c r="B33" s="2" t="s">
        <v>8</v>
      </c>
      <c r="C33" s="3" t="s">
        <v>94</v>
      </c>
      <c r="D33" s="3" t="s">
        <v>21</v>
      </c>
      <c r="E33" s="2" t="s">
        <v>11</v>
      </c>
      <c r="F33" s="2" t="s">
        <v>46</v>
      </c>
      <c r="G33" s="2" t="s">
        <v>18</v>
      </c>
    </row>
    <row r="34" spans="1:7" ht="25.5" x14ac:dyDescent="0.25">
      <c r="A34" s="4" t="s">
        <v>95</v>
      </c>
      <c r="B34" s="4" t="s">
        <v>8</v>
      </c>
      <c r="C34" s="5" t="s">
        <v>96</v>
      </c>
      <c r="D34" s="5" t="s">
        <v>62</v>
      </c>
      <c r="E34" s="4" t="s">
        <v>25</v>
      </c>
      <c r="F34" s="4" t="s">
        <v>26</v>
      </c>
      <c r="G34" s="4" t="s">
        <v>31</v>
      </c>
    </row>
    <row r="35" spans="1:7" ht="38.25" x14ac:dyDescent="0.25">
      <c r="A35" s="2" t="s">
        <v>97</v>
      </c>
      <c r="B35" s="2" t="s">
        <v>8</v>
      </c>
      <c r="C35" s="3" t="s">
        <v>98</v>
      </c>
      <c r="D35" s="3" t="s">
        <v>24</v>
      </c>
      <c r="E35" s="2" t="s">
        <v>11</v>
      </c>
      <c r="F35" s="2" t="s">
        <v>17</v>
      </c>
      <c r="G35" s="2" t="s">
        <v>27</v>
      </c>
    </row>
    <row r="36" spans="1:7" ht="25.5" x14ac:dyDescent="0.25">
      <c r="A36" s="4" t="s">
        <v>99</v>
      </c>
      <c r="B36" s="4" t="s">
        <v>8</v>
      </c>
      <c r="C36" s="5" t="s">
        <v>100</v>
      </c>
      <c r="D36" s="5" t="s">
        <v>21</v>
      </c>
      <c r="E36" s="4" t="s">
        <v>25</v>
      </c>
      <c r="F36" s="4" t="s">
        <v>26</v>
      </c>
      <c r="G36" s="4" t="s">
        <v>18</v>
      </c>
    </row>
    <row r="37" spans="1:7" x14ac:dyDescent="0.25">
      <c r="A37" s="2" t="s">
        <v>101</v>
      </c>
      <c r="B37" s="2" t="s">
        <v>8</v>
      </c>
      <c r="C37" s="3" t="s">
        <v>102</v>
      </c>
      <c r="D37" s="3" t="s">
        <v>24</v>
      </c>
      <c r="E37" s="2" t="s">
        <v>11</v>
      </c>
      <c r="F37" s="2" t="s">
        <v>26</v>
      </c>
      <c r="G37" s="2" t="s">
        <v>13</v>
      </c>
    </row>
    <row r="38" spans="1:7" x14ac:dyDescent="0.25">
      <c r="A38" s="6" t="s">
        <v>103</v>
      </c>
      <c r="B38" s="6" t="s">
        <v>104</v>
      </c>
      <c r="C38" s="7" t="s">
        <v>105</v>
      </c>
      <c r="D38" s="7" t="s">
        <v>65</v>
      </c>
      <c r="E38" s="6" t="s">
        <v>37</v>
      </c>
      <c r="F38" s="6" t="s">
        <v>38</v>
      </c>
      <c r="G38" s="6" t="s">
        <v>27</v>
      </c>
    </row>
    <row r="39" spans="1:7" x14ac:dyDescent="0.25">
      <c r="A39" s="6" t="s">
        <v>106</v>
      </c>
      <c r="B39" s="6" t="s">
        <v>104</v>
      </c>
      <c r="C39" s="7" t="s">
        <v>107</v>
      </c>
      <c r="D39" s="7" t="s">
        <v>65</v>
      </c>
      <c r="E39" s="6" t="s">
        <v>37</v>
      </c>
      <c r="F39" s="6" t="s">
        <v>38</v>
      </c>
      <c r="G39" s="6" t="s">
        <v>13</v>
      </c>
    </row>
    <row r="40" spans="1:7" x14ac:dyDescent="0.25">
      <c r="A40" s="8" t="s">
        <v>108</v>
      </c>
      <c r="B40" s="8" t="s">
        <v>104</v>
      </c>
      <c r="C40" s="9" t="s">
        <v>109</v>
      </c>
      <c r="D40" s="9" t="s">
        <v>65</v>
      </c>
      <c r="E40" s="8" t="s">
        <v>68</v>
      </c>
      <c r="F40" s="8" t="s">
        <v>38</v>
      </c>
      <c r="G40" s="8" t="s">
        <v>18</v>
      </c>
    </row>
    <row r="41" spans="1:7" x14ac:dyDescent="0.25">
      <c r="A41" s="2" t="s">
        <v>110</v>
      </c>
      <c r="B41" s="2" t="s">
        <v>104</v>
      </c>
      <c r="C41" s="3" t="s">
        <v>111</v>
      </c>
      <c r="D41" s="3" t="s">
        <v>65</v>
      </c>
      <c r="E41" s="2" t="s">
        <v>11</v>
      </c>
      <c r="F41" s="2" t="s">
        <v>38</v>
      </c>
      <c r="G41" s="2" t="s">
        <v>27</v>
      </c>
    </row>
    <row r="42" spans="1:7" x14ac:dyDescent="0.25">
      <c r="A42" s="2" t="s">
        <v>112</v>
      </c>
      <c r="B42" s="2" t="s">
        <v>104</v>
      </c>
      <c r="C42" s="3" t="s">
        <v>113</v>
      </c>
      <c r="D42" s="3" t="s">
        <v>65</v>
      </c>
      <c r="E42" s="2" t="s">
        <v>11</v>
      </c>
      <c r="F42" s="2" t="s">
        <v>38</v>
      </c>
      <c r="G42" s="2" t="s">
        <v>18</v>
      </c>
    </row>
    <row r="43" spans="1:7" x14ac:dyDescent="0.25">
      <c r="A43" s="2" t="s">
        <v>114</v>
      </c>
      <c r="B43" s="2" t="s">
        <v>104</v>
      </c>
      <c r="C43" s="3" t="s">
        <v>115</v>
      </c>
      <c r="D43" s="3" t="s">
        <v>65</v>
      </c>
      <c r="E43" s="2" t="s">
        <v>11</v>
      </c>
      <c r="F43" s="2" t="s">
        <v>38</v>
      </c>
      <c r="G43" s="2" t="s">
        <v>18</v>
      </c>
    </row>
    <row r="44" spans="1:7" x14ac:dyDescent="0.25">
      <c r="A44" s="2" t="s">
        <v>116</v>
      </c>
      <c r="B44" s="2" t="s">
        <v>104</v>
      </c>
      <c r="C44" s="3" t="s">
        <v>117</v>
      </c>
      <c r="D44" s="3" t="s">
        <v>65</v>
      </c>
      <c r="E44" s="2" t="s">
        <v>11</v>
      </c>
      <c r="F44" s="2" t="s">
        <v>38</v>
      </c>
      <c r="G44" s="2" t="s">
        <v>18</v>
      </c>
    </row>
    <row r="45" spans="1:7" x14ac:dyDescent="0.25">
      <c r="A45" s="6" t="s">
        <v>118</v>
      </c>
      <c r="B45" s="6" t="s">
        <v>104</v>
      </c>
      <c r="C45" s="7" t="s">
        <v>119</v>
      </c>
      <c r="D45" s="7" t="s">
        <v>65</v>
      </c>
      <c r="E45" s="6" t="s">
        <v>37</v>
      </c>
      <c r="F45" s="6" t="s">
        <v>38</v>
      </c>
      <c r="G45" s="6" t="s">
        <v>31</v>
      </c>
    </row>
    <row r="46" spans="1:7" x14ac:dyDescent="0.25">
      <c r="A46" s="2" t="s">
        <v>120</v>
      </c>
      <c r="B46" s="2" t="s">
        <v>8</v>
      </c>
      <c r="C46" s="3" t="s">
        <v>121</v>
      </c>
      <c r="D46" s="3" t="s">
        <v>30</v>
      </c>
      <c r="E46" s="2" t="s">
        <v>11</v>
      </c>
      <c r="F46" s="2" t="s">
        <v>38</v>
      </c>
      <c r="G46" s="2" t="s">
        <v>18</v>
      </c>
    </row>
    <row r="47" spans="1:7" x14ac:dyDescent="0.25">
      <c r="A47" s="2" t="s">
        <v>122</v>
      </c>
      <c r="B47" s="2" t="s">
        <v>104</v>
      </c>
      <c r="C47" s="3" t="s">
        <v>123</v>
      </c>
      <c r="D47" s="3" t="s">
        <v>16</v>
      </c>
      <c r="E47" s="2" t="s">
        <v>11</v>
      </c>
      <c r="F47" s="2" t="s">
        <v>38</v>
      </c>
      <c r="G47" s="2" t="s">
        <v>18</v>
      </c>
    </row>
    <row r="48" spans="1:7" x14ac:dyDescent="0.25">
      <c r="A48" s="2" t="s">
        <v>124</v>
      </c>
      <c r="B48" s="2" t="s">
        <v>104</v>
      </c>
      <c r="C48" s="3" t="s">
        <v>125</v>
      </c>
      <c r="D48" s="3" t="s">
        <v>10</v>
      </c>
      <c r="E48" s="2" t="s">
        <v>11</v>
      </c>
      <c r="F48" s="2" t="s">
        <v>38</v>
      </c>
      <c r="G48" s="2" t="s">
        <v>18</v>
      </c>
    </row>
    <row r="49" spans="1:7" x14ac:dyDescent="0.25">
      <c r="A49" s="8" t="s">
        <v>126</v>
      </c>
      <c r="B49" s="8" t="s">
        <v>104</v>
      </c>
      <c r="C49" s="9" t="s">
        <v>127</v>
      </c>
      <c r="D49" s="9" t="s">
        <v>65</v>
      </c>
      <c r="E49" s="8" t="s">
        <v>68</v>
      </c>
      <c r="F49" s="8" t="s">
        <v>38</v>
      </c>
      <c r="G49" s="8" t="s">
        <v>18</v>
      </c>
    </row>
    <row r="50" spans="1:7" x14ac:dyDescent="0.25">
      <c r="A50" s="8" t="s">
        <v>128</v>
      </c>
      <c r="B50" s="8" t="s">
        <v>104</v>
      </c>
      <c r="C50" s="9" t="s">
        <v>129</v>
      </c>
      <c r="D50" s="9" t="s">
        <v>65</v>
      </c>
      <c r="E50" s="8" t="s">
        <v>68</v>
      </c>
      <c r="F50" s="8" t="s">
        <v>38</v>
      </c>
      <c r="G50" s="8" t="s">
        <v>18</v>
      </c>
    </row>
    <row r="51" spans="1:7" ht="25.5" x14ac:dyDescent="0.25">
      <c r="A51" s="8" t="s">
        <v>130</v>
      </c>
      <c r="B51" s="8" t="s">
        <v>104</v>
      </c>
      <c r="C51" s="9" t="s">
        <v>131</v>
      </c>
      <c r="D51" s="9" t="s">
        <v>65</v>
      </c>
      <c r="E51" s="8" t="s">
        <v>68</v>
      </c>
      <c r="F51" s="8" t="s">
        <v>38</v>
      </c>
      <c r="G51" s="8" t="s">
        <v>18</v>
      </c>
    </row>
    <row r="52" spans="1:7" x14ac:dyDescent="0.25">
      <c r="A52" s="8" t="s">
        <v>132</v>
      </c>
      <c r="B52" s="8" t="s">
        <v>104</v>
      </c>
      <c r="C52" s="9" t="s">
        <v>133</v>
      </c>
      <c r="D52" s="9" t="s">
        <v>65</v>
      </c>
      <c r="E52" s="8" t="s">
        <v>68</v>
      </c>
      <c r="F52" s="8" t="s">
        <v>38</v>
      </c>
      <c r="G52" s="8" t="s">
        <v>18</v>
      </c>
    </row>
    <row r="53" spans="1:7" x14ac:dyDescent="0.25">
      <c r="A53" s="8" t="s">
        <v>134</v>
      </c>
      <c r="B53" s="8" t="s">
        <v>104</v>
      </c>
      <c r="C53" s="9" t="s">
        <v>135</v>
      </c>
      <c r="D53" s="9" t="s">
        <v>65</v>
      </c>
      <c r="E53" s="8" t="s">
        <v>68</v>
      </c>
      <c r="F53" s="8" t="s">
        <v>38</v>
      </c>
      <c r="G53" s="8" t="s">
        <v>18</v>
      </c>
    </row>
    <row r="54" spans="1:7" x14ac:dyDescent="0.25">
      <c r="A54" s="8" t="s">
        <v>136</v>
      </c>
      <c r="B54" s="8" t="s">
        <v>104</v>
      </c>
      <c r="C54" s="9" t="s">
        <v>137</v>
      </c>
      <c r="D54" s="9" t="s">
        <v>65</v>
      </c>
      <c r="E54" s="8" t="s">
        <v>68</v>
      </c>
      <c r="F54" s="8" t="s">
        <v>38</v>
      </c>
      <c r="G54" s="8" t="s">
        <v>18</v>
      </c>
    </row>
    <row r="55" spans="1:7" x14ac:dyDescent="0.25">
      <c r="A55" s="8" t="s">
        <v>138</v>
      </c>
      <c r="B55" s="8" t="s">
        <v>104</v>
      </c>
      <c r="C55" s="9" t="s">
        <v>139</v>
      </c>
      <c r="D55" s="9" t="s">
        <v>65</v>
      </c>
      <c r="E55" s="8" t="s">
        <v>68</v>
      </c>
      <c r="F55" s="8" t="s">
        <v>38</v>
      </c>
      <c r="G55" s="8" t="s">
        <v>18</v>
      </c>
    </row>
    <row r="56" spans="1:7" x14ac:dyDescent="0.25">
      <c r="A56" s="8" t="s">
        <v>140</v>
      </c>
      <c r="B56" s="8" t="s">
        <v>104</v>
      </c>
      <c r="C56" s="9" t="s">
        <v>141</v>
      </c>
      <c r="D56" s="9" t="s">
        <v>65</v>
      </c>
      <c r="E56" s="8" t="s">
        <v>68</v>
      </c>
      <c r="F56" s="8" t="s">
        <v>38</v>
      </c>
      <c r="G56" s="8" t="s">
        <v>18</v>
      </c>
    </row>
  </sheetData>
  <autoFilter ref="A1:G56" xr:uid="{00000000-0009-0000-0000-000000000000}"/>
  <conditionalFormatting sqref="A2:G56">
    <cfRule type="expression" dxfId="3" priority="1">
      <formula>$E2="Finalizado"</formula>
    </cfRule>
    <cfRule type="expression" dxfId="2" priority="2">
      <formula>$E2="En revisión"</formula>
    </cfRule>
    <cfRule type="expression" dxfId="1" priority="3">
      <formula>$E2="En curso"</formula>
    </cfRule>
    <cfRule type="expression" dxfId="0" priority="4">
      <formula>$E2="Por hacer"</formula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8"/>
  <sheetViews>
    <sheetView showGridLines="0" workbookViewId="0"/>
  </sheetViews>
  <sheetFormatPr baseColWidth="10" defaultColWidth="9.140625" defaultRowHeight="15" x14ac:dyDescent="0.25"/>
  <cols>
    <col min="1" max="1" width="44" customWidth="1"/>
    <col min="2" max="6" width="13" customWidth="1"/>
  </cols>
  <sheetData>
    <row r="1" spans="1:6" ht="18" x14ac:dyDescent="0.25">
      <c r="A1" s="10" t="s">
        <v>142</v>
      </c>
    </row>
    <row r="2" spans="1:6" ht="26.1" customHeight="1" x14ac:dyDescent="0.25">
      <c r="A2" s="29" t="s">
        <v>143</v>
      </c>
      <c r="B2" s="30"/>
      <c r="C2" s="30"/>
      <c r="D2" s="30"/>
      <c r="E2" s="30"/>
      <c r="F2" s="30"/>
    </row>
    <row r="4" spans="1:6" x14ac:dyDescent="0.25">
      <c r="A4" s="11" t="s">
        <v>144</v>
      </c>
    </row>
    <row r="5" spans="1:6" x14ac:dyDescent="0.25">
      <c r="A5" s="1" t="s">
        <v>4</v>
      </c>
      <c r="B5" s="1" t="s">
        <v>145</v>
      </c>
      <c r="C5" s="1" t="s">
        <v>146</v>
      </c>
    </row>
    <row r="6" spans="1:6" x14ac:dyDescent="0.25">
      <c r="A6" s="12" t="s">
        <v>11</v>
      </c>
      <c r="B6" s="13">
        <f>COUNTIF('Historias y tareas'!$E$2:$E$56,$A6)</f>
        <v>21</v>
      </c>
      <c r="C6" s="14">
        <f>IF($B$10=0,0,B6/$B$10)</f>
        <v>0.38181818181818183</v>
      </c>
    </row>
    <row r="7" spans="1:6" x14ac:dyDescent="0.25">
      <c r="A7" s="15" t="s">
        <v>68</v>
      </c>
      <c r="B7" s="13">
        <f>COUNTIF('Historias y tareas'!$E$2:$E$56,$A7)</f>
        <v>11</v>
      </c>
      <c r="C7" s="14">
        <f>IF($B$10=0,0,B7/$B$10)</f>
        <v>0.2</v>
      </c>
    </row>
    <row r="8" spans="1:6" x14ac:dyDescent="0.25">
      <c r="A8" s="16" t="s">
        <v>25</v>
      </c>
      <c r="B8" s="13">
        <f>COUNTIF('Historias y tareas'!$E$2:$E$56,$A8)</f>
        <v>9</v>
      </c>
      <c r="C8" s="14">
        <f>IF($B$10=0,0,B8/$B$10)</f>
        <v>0.16363636363636364</v>
      </c>
    </row>
    <row r="9" spans="1:6" x14ac:dyDescent="0.25">
      <c r="A9" s="17" t="s">
        <v>37</v>
      </c>
      <c r="B9" s="13">
        <f>COUNTIF('Historias y tareas'!$E$2:$E$56,$A9)</f>
        <v>14</v>
      </c>
      <c r="C9" s="14">
        <f>IF($B$10=0,0,B9/$B$10)</f>
        <v>0.25454545454545452</v>
      </c>
    </row>
    <row r="10" spans="1:6" x14ac:dyDescent="0.25">
      <c r="A10" s="18" t="s">
        <v>147</v>
      </c>
      <c r="B10" s="19">
        <f>COUNTA('Historias y tareas'!$A$2:$A$56)</f>
        <v>55</v>
      </c>
      <c r="C10" s="20">
        <f>SUM(C6:C9)</f>
        <v>0.99999999999999989</v>
      </c>
    </row>
    <row r="12" spans="1:6" x14ac:dyDescent="0.25">
      <c r="A12" s="11" t="s">
        <v>148</v>
      </c>
    </row>
    <row r="13" spans="1:6" x14ac:dyDescent="0.25">
      <c r="A13" s="1" t="s">
        <v>1</v>
      </c>
      <c r="B13" s="1" t="s">
        <v>149</v>
      </c>
      <c r="C13" s="21" t="s">
        <v>11</v>
      </c>
      <c r="D13" s="22" t="s">
        <v>68</v>
      </c>
      <c r="E13" s="23" t="s">
        <v>25</v>
      </c>
      <c r="F13" s="24" t="s">
        <v>37</v>
      </c>
    </row>
    <row r="14" spans="1:6" x14ac:dyDescent="0.25">
      <c r="A14" s="25" t="s">
        <v>8</v>
      </c>
      <c r="B14" s="26">
        <f>COUNTIF('Historias y tareas'!$B$2:$B$56,$A14)</f>
        <v>37</v>
      </c>
      <c r="C14" s="27">
        <f>COUNTIFS('Historias y tareas'!$B$2:$B$56,$A14,'Historias y tareas'!$E$2:$E$56,C$13)</f>
        <v>15</v>
      </c>
      <c r="D14" s="27">
        <f>COUNTIFS('Historias y tareas'!$B$2:$B$56,$A14,'Historias y tareas'!$E$2:$E$56,D$13)</f>
        <v>2</v>
      </c>
      <c r="E14" s="27">
        <f>COUNTIFS('Historias y tareas'!$B$2:$B$56,$A14,'Historias y tareas'!$E$2:$E$56,E$13)</f>
        <v>9</v>
      </c>
      <c r="F14" s="27">
        <f>COUNTIFS('Historias y tareas'!$B$2:$B$56,$A14,'Historias y tareas'!$E$2:$E$56,F$13)</f>
        <v>11</v>
      </c>
    </row>
    <row r="15" spans="1:6" x14ac:dyDescent="0.25">
      <c r="A15" s="25" t="s">
        <v>104</v>
      </c>
      <c r="B15" s="26">
        <f>COUNTIF('Historias y tareas'!$B$2:$B$56,$A15)</f>
        <v>18</v>
      </c>
      <c r="C15" s="27">
        <f>COUNTIFS('Historias y tareas'!$B$2:$B$56,$A15,'Historias y tareas'!$E$2:$E$56,C$13)</f>
        <v>6</v>
      </c>
      <c r="D15" s="27">
        <f>COUNTIFS('Historias y tareas'!$B$2:$B$56,$A15,'Historias y tareas'!$E$2:$E$56,D$13)</f>
        <v>9</v>
      </c>
      <c r="E15" s="27">
        <f>COUNTIFS('Historias y tareas'!$B$2:$B$56,$A15,'Historias y tareas'!$E$2:$E$56,E$13)</f>
        <v>0</v>
      </c>
      <c r="F15" s="27">
        <f>COUNTIFS('Historias y tareas'!$B$2:$B$56,$A15,'Historias y tareas'!$E$2:$E$56,F$13)</f>
        <v>3</v>
      </c>
    </row>
    <row r="16" spans="1:6" x14ac:dyDescent="0.25">
      <c r="A16" s="18" t="s">
        <v>149</v>
      </c>
      <c r="B16" s="19">
        <f>SUM(B14:B15)</f>
        <v>55</v>
      </c>
      <c r="C16" s="19">
        <f>SUM(C14:C15)</f>
        <v>21</v>
      </c>
      <c r="D16" s="19">
        <f>SUM(D14:D15)</f>
        <v>11</v>
      </c>
      <c r="E16" s="19">
        <f>SUM(E14:E15)</f>
        <v>9</v>
      </c>
      <c r="F16" s="19">
        <f>SUM(F14:F15)</f>
        <v>14</v>
      </c>
    </row>
    <row r="18" spans="1:6" x14ac:dyDescent="0.25">
      <c r="A18" s="11" t="s">
        <v>150</v>
      </c>
    </row>
    <row r="19" spans="1:6" x14ac:dyDescent="0.25">
      <c r="A19" s="1" t="s">
        <v>5</v>
      </c>
      <c r="B19" s="1" t="s">
        <v>149</v>
      </c>
      <c r="C19" s="21" t="s">
        <v>11</v>
      </c>
      <c r="D19" s="22" t="s">
        <v>68</v>
      </c>
      <c r="E19" s="23" t="s">
        <v>25</v>
      </c>
      <c r="F19" s="24" t="s">
        <v>37</v>
      </c>
    </row>
    <row r="20" spans="1:6" x14ac:dyDescent="0.25">
      <c r="A20" s="25" t="s">
        <v>46</v>
      </c>
      <c r="B20" s="26">
        <f>COUNTIF('Historias y tareas'!$F$2:$F$56,"*"&amp;$A20&amp;"*")</f>
        <v>7</v>
      </c>
      <c r="C20" s="27">
        <f>COUNTIFS('Historias y tareas'!$F$2:$F$56,"*"&amp;$A20&amp;"*",'Historias y tareas'!$E$2:$E$56,C$19)</f>
        <v>7</v>
      </c>
      <c r="D20" s="27">
        <f>COUNTIFS('Historias y tareas'!$F$2:$F$56,"*"&amp;$A20&amp;"*",'Historias y tareas'!$E$2:$E$56,D$19)</f>
        <v>0</v>
      </c>
      <c r="E20" s="27">
        <f>COUNTIFS('Historias y tareas'!$F$2:$F$56,"*"&amp;$A20&amp;"*",'Historias y tareas'!$E$2:$E$56,E$19)</f>
        <v>0</v>
      </c>
      <c r="F20" s="27">
        <f>COUNTIFS('Historias y tareas'!$F$2:$F$56,"*"&amp;$A20&amp;"*",'Historias y tareas'!$E$2:$E$56,F$19)</f>
        <v>0</v>
      </c>
    </row>
    <row r="21" spans="1:6" x14ac:dyDescent="0.25">
      <c r="A21" s="25" t="s">
        <v>17</v>
      </c>
      <c r="B21" s="26">
        <f>COUNTIF('Historias y tareas'!$F$2:$F$56,"*"&amp;$A21&amp;"*")</f>
        <v>5</v>
      </c>
      <c r="C21" s="27">
        <f>COUNTIFS('Historias y tareas'!$F$2:$F$56,"*"&amp;$A21&amp;"*",'Historias y tareas'!$E$2:$E$56,C$19)</f>
        <v>5</v>
      </c>
      <c r="D21" s="27">
        <f>COUNTIFS('Historias y tareas'!$F$2:$F$56,"*"&amp;$A21&amp;"*",'Historias y tareas'!$E$2:$E$56,D$19)</f>
        <v>0</v>
      </c>
      <c r="E21" s="27">
        <f>COUNTIFS('Historias y tareas'!$F$2:$F$56,"*"&amp;$A21&amp;"*",'Historias y tareas'!$E$2:$E$56,E$19)</f>
        <v>0</v>
      </c>
      <c r="F21" s="27">
        <f>COUNTIFS('Historias y tareas'!$F$2:$F$56,"*"&amp;$A21&amp;"*",'Historias y tareas'!$E$2:$E$56,F$19)</f>
        <v>0</v>
      </c>
    </row>
    <row r="22" spans="1:6" x14ac:dyDescent="0.25">
      <c r="A22" s="25" t="s">
        <v>26</v>
      </c>
      <c r="B22" s="26">
        <f>COUNTIF('Historias y tareas'!$F$2:$F$56,"*"&amp;$A22&amp;"*")</f>
        <v>9</v>
      </c>
      <c r="C22" s="27">
        <f>COUNTIFS('Historias y tareas'!$F$2:$F$56,"*"&amp;$A22&amp;"*",'Historias y tareas'!$E$2:$E$56,C$19)</f>
        <v>3</v>
      </c>
      <c r="D22" s="27">
        <f>COUNTIFS('Historias y tareas'!$F$2:$F$56,"*"&amp;$A22&amp;"*",'Historias y tareas'!$E$2:$E$56,D$19)</f>
        <v>0</v>
      </c>
      <c r="E22" s="27">
        <f>COUNTIFS('Historias y tareas'!$F$2:$F$56,"*"&amp;$A22&amp;"*",'Historias y tareas'!$E$2:$E$56,E$19)</f>
        <v>5</v>
      </c>
      <c r="F22" s="27">
        <f>COUNTIFS('Historias y tareas'!$F$2:$F$56,"*"&amp;$A22&amp;"*",'Historias y tareas'!$E$2:$E$56,F$19)</f>
        <v>1</v>
      </c>
    </row>
    <row r="23" spans="1:6" x14ac:dyDescent="0.25">
      <c r="A23" s="25" t="s">
        <v>38</v>
      </c>
      <c r="B23" s="26">
        <f>COUNTIF('Historias y tareas'!$F$2:$F$56,"*"&amp;$A23&amp;"*")</f>
        <v>35</v>
      </c>
      <c r="C23" s="27">
        <f>COUNTIFS('Historias y tareas'!$F$2:$F$56,"*"&amp;$A23&amp;"*",'Historias y tareas'!$E$2:$E$56,C$19)</f>
        <v>7</v>
      </c>
      <c r="D23" s="27">
        <f>COUNTIFS('Historias y tareas'!$F$2:$F$56,"*"&amp;$A23&amp;"*",'Historias y tareas'!$E$2:$E$56,D$19)</f>
        <v>11</v>
      </c>
      <c r="E23" s="27">
        <f>COUNTIFS('Historias y tareas'!$F$2:$F$56,"*"&amp;$A23&amp;"*",'Historias y tareas'!$E$2:$E$56,E$19)</f>
        <v>4</v>
      </c>
      <c r="F23" s="27">
        <f>COUNTIFS('Historias y tareas'!$F$2:$F$56,"*"&amp;$A23&amp;"*",'Historias y tareas'!$E$2:$E$56,F$19)</f>
        <v>13</v>
      </c>
    </row>
    <row r="24" spans="1:6" x14ac:dyDescent="0.25">
      <c r="A24" s="18" t="s">
        <v>149</v>
      </c>
      <c r="B24" s="19">
        <f>SUM(B20:B23)</f>
        <v>56</v>
      </c>
      <c r="C24" s="19">
        <f>SUM(C20:C23)</f>
        <v>22</v>
      </c>
      <c r="D24" s="19">
        <f>SUM(D20:D23)</f>
        <v>11</v>
      </c>
      <c r="E24" s="19">
        <f>SUM(E20:E23)</f>
        <v>9</v>
      </c>
      <c r="F24" s="19">
        <f>SUM(F20:F23)</f>
        <v>14</v>
      </c>
    </row>
    <row r="25" spans="1:6" ht="26.1" customHeight="1" x14ac:dyDescent="0.25">
      <c r="A25" s="29" t="s">
        <v>151</v>
      </c>
      <c r="B25" s="30"/>
      <c r="C25" s="30"/>
      <c r="D25" s="30"/>
      <c r="E25" s="30"/>
      <c r="F25" s="30"/>
    </row>
    <row r="27" spans="1:6" x14ac:dyDescent="0.25">
      <c r="A27" s="11" t="s">
        <v>152</v>
      </c>
    </row>
    <row r="28" spans="1:6" x14ac:dyDescent="0.25">
      <c r="A28" s="1" t="s">
        <v>6</v>
      </c>
      <c r="B28" s="1" t="s">
        <v>149</v>
      </c>
      <c r="C28" s="21" t="s">
        <v>11</v>
      </c>
      <c r="D28" s="22" t="s">
        <v>68</v>
      </c>
      <c r="E28" s="23" t="s">
        <v>25</v>
      </c>
      <c r="F28" s="24" t="s">
        <v>37</v>
      </c>
    </row>
    <row r="29" spans="1:6" x14ac:dyDescent="0.25">
      <c r="A29" s="25" t="s">
        <v>18</v>
      </c>
      <c r="B29" s="26">
        <f>COUNTIF('Historias y tareas'!$G$2:$G$56,$A29)</f>
        <v>24</v>
      </c>
      <c r="C29" s="27">
        <f>COUNTIFS('Historias y tareas'!$G$2:$G$56,$A29,'Historias y tareas'!$E$2:$E$56,C$28)</f>
        <v>12</v>
      </c>
      <c r="D29" s="27">
        <f>COUNTIFS('Historias y tareas'!$G$2:$G$56,$A29,'Historias y tareas'!$E$2:$E$56,D$28)</f>
        <v>11</v>
      </c>
      <c r="E29" s="27">
        <f>COUNTIFS('Historias y tareas'!$G$2:$G$56,$A29,'Historias y tareas'!$E$2:$E$56,E$28)</f>
        <v>1</v>
      </c>
      <c r="F29" s="27">
        <f>COUNTIFS('Historias y tareas'!$G$2:$G$56,$A29,'Historias y tareas'!$E$2:$E$56,F$28)</f>
        <v>0</v>
      </c>
    </row>
    <row r="30" spans="1:6" x14ac:dyDescent="0.25">
      <c r="A30" s="25" t="s">
        <v>27</v>
      </c>
      <c r="B30" s="26">
        <f>COUNTIF('Historias y tareas'!$G$2:$G$56,$A30)</f>
        <v>20</v>
      </c>
      <c r="C30" s="27">
        <f>COUNTIFS('Historias y tareas'!$G$2:$G$56,$A30,'Historias y tareas'!$E$2:$E$56,C$28)</f>
        <v>4</v>
      </c>
      <c r="D30" s="27">
        <f>COUNTIFS('Historias y tareas'!$G$2:$G$56,$A30,'Historias y tareas'!$E$2:$E$56,D$28)</f>
        <v>0</v>
      </c>
      <c r="E30" s="27">
        <f>COUNTIFS('Historias y tareas'!$G$2:$G$56,$A30,'Historias y tareas'!$E$2:$E$56,E$28)</f>
        <v>5</v>
      </c>
      <c r="F30" s="27">
        <f>COUNTIFS('Historias y tareas'!$G$2:$G$56,$A30,'Historias y tareas'!$E$2:$E$56,F$28)</f>
        <v>11</v>
      </c>
    </row>
    <row r="31" spans="1:6" x14ac:dyDescent="0.25">
      <c r="A31" s="25" t="s">
        <v>31</v>
      </c>
      <c r="B31" s="26">
        <f>COUNTIF('Historias y tareas'!$G$2:$G$56,$A31)</f>
        <v>6</v>
      </c>
      <c r="C31" s="27">
        <f>COUNTIFS('Historias y tareas'!$G$2:$G$56,$A31,'Historias y tareas'!$E$2:$E$56,C$28)</f>
        <v>2</v>
      </c>
      <c r="D31" s="27">
        <f>COUNTIFS('Historias y tareas'!$G$2:$G$56,$A31,'Historias y tareas'!$E$2:$E$56,D$28)</f>
        <v>0</v>
      </c>
      <c r="E31" s="27">
        <f>COUNTIFS('Historias y tareas'!$G$2:$G$56,$A31,'Historias y tareas'!$E$2:$E$56,E$28)</f>
        <v>3</v>
      </c>
      <c r="F31" s="27">
        <f>COUNTIFS('Historias y tareas'!$G$2:$G$56,$A31,'Historias y tareas'!$E$2:$E$56,F$28)</f>
        <v>1</v>
      </c>
    </row>
    <row r="32" spans="1:6" x14ac:dyDescent="0.25">
      <c r="A32" s="25" t="s">
        <v>13</v>
      </c>
      <c r="B32" s="26">
        <f>COUNTIF('Historias y tareas'!$G$2:$G$56,$A32)</f>
        <v>5</v>
      </c>
      <c r="C32" s="27">
        <f>COUNTIFS('Historias y tareas'!$G$2:$G$56,$A32,'Historias y tareas'!$E$2:$E$56,C$28)</f>
        <v>3</v>
      </c>
      <c r="D32" s="27">
        <f>COUNTIFS('Historias y tareas'!$G$2:$G$56,$A32,'Historias y tareas'!$E$2:$E$56,D$28)</f>
        <v>0</v>
      </c>
      <c r="E32" s="27">
        <f>COUNTIFS('Historias y tareas'!$G$2:$G$56,$A32,'Historias y tareas'!$E$2:$E$56,E$28)</f>
        <v>0</v>
      </c>
      <c r="F32" s="27">
        <f>COUNTIFS('Historias y tareas'!$G$2:$G$56,$A32,'Historias y tareas'!$E$2:$E$56,F$28)</f>
        <v>2</v>
      </c>
    </row>
    <row r="33" spans="1:6" x14ac:dyDescent="0.25">
      <c r="A33" s="18" t="s">
        <v>149</v>
      </c>
      <c r="B33" s="19">
        <f>SUM(B29:B32)</f>
        <v>55</v>
      </c>
      <c r="C33" s="19">
        <f>SUM(C29:C32)</f>
        <v>21</v>
      </c>
      <c r="D33" s="19">
        <f>SUM(D29:D32)</f>
        <v>11</v>
      </c>
      <c r="E33" s="19">
        <f>SUM(E29:E32)</f>
        <v>9</v>
      </c>
      <c r="F33" s="19">
        <f>SUM(F29:F32)</f>
        <v>14</v>
      </c>
    </row>
    <row r="35" spans="1:6" x14ac:dyDescent="0.25">
      <c r="A35" s="11" t="s">
        <v>153</v>
      </c>
    </row>
    <row r="36" spans="1:6" x14ac:dyDescent="0.25">
      <c r="A36" s="1" t="s">
        <v>3</v>
      </c>
      <c r="B36" s="1" t="s">
        <v>149</v>
      </c>
      <c r="C36" s="21" t="s">
        <v>11</v>
      </c>
      <c r="D36" s="22" t="s">
        <v>68</v>
      </c>
      <c r="E36" s="23" t="s">
        <v>25</v>
      </c>
      <c r="F36" s="24" t="s">
        <v>37</v>
      </c>
    </row>
    <row r="37" spans="1:6" x14ac:dyDescent="0.25">
      <c r="A37" s="25" t="s">
        <v>24</v>
      </c>
      <c r="B37" s="26">
        <f>COUNTIF('Historias y tareas'!$D$2:$D$56,$A37)</f>
        <v>5</v>
      </c>
      <c r="C37" s="27">
        <f>COUNTIFS('Historias y tareas'!$D$2:$D$56,$A37,'Historias y tareas'!$E$2:$E$56,C$36)</f>
        <v>3</v>
      </c>
      <c r="D37" s="27">
        <f>COUNTIFS('Historias y tareas'!$D$2:$D$56,$A37,'Historias y tareas'!$E$2:$E$56,D$36)</f>
        <v>0</v>
      </c>
      <c r="E37" s="27">
        <f>COUNTIFS('Historias y tareas'!$D$2:$D$56,$A37,'Historias y tareas'!$E$2:$E$56,E$36)</f>
        <v>1</v>
      </c>
      <c r="F37" s="27">
        <f>COUNTIFS('Historias y tareas'!$D$2:$D$56,$A37,'Historias y tareas'!$E$2:$E$56,F$36)</f>
        <v>1</v>
      </c>
    </row>
    <row r="38" spans="1:6" x14ac:dyDescent="0.25">
      <c r="A38" s="25" t="s">
        <v>30</v>
      </c>
      <c r="B38" s="26">
        <f>COUNTIF('Historias y tareas'!$D$2:$D$56,$A38)</f>
        <v>4</v>
      </c>
      <c r="C38" s="27">
        <f>COUNTIFS('Historias y tareas'!$D$2:$D$56,$A38,'Historias y tareas'!$E$2:$E$56,C$36)</f>
        <v>2</v>
      </c>
      <c r="D38" s="27">
        <f>COUNTIFS('Historias y tareas'!$D$2:$D$56,$A38,'Historias y tareas'!$E$2:$E$56,D$36)</f>
        <v>0</v>
      </c>
      <c r="E38" s="27">
        <f>COUNTIFS('Historias y tareas'!$D$2:$D$56,$A38,'Historias y tareas'!$E$2:$E$56,E$36)</f>
        <v>1</v>
      </c>
      <c r="F38" s="27">
        <f>COUNTIFS('Historias y tareas'!$D$2:$D$56,$A38,'Historias y tareas'!$E$2:$E$56,F$36)</f>
        <v>1</v>
      </c>
    </row>
    <row r="39" spans="1:6" x14ac:dyDescent="0.25">
      <c r="A39" s="25" t="s">
        <v>10</v>
      </c>
      <c r="B39" s="26">
        <f>COUNTIF('Historias y tareas'!$D$2:$D$56,$A39)</f>
        <v>4</v>
      </c>
      <c r="C39" s="27">
        <f>COUNTIFS('Historias y tareas'!$D$2:$D$56,$A39,'Historias y tareas'!$E$2:$E$56,C$36)</f>
        <v>4</v>
      </c>
      <c r="D39" s="27">
        <f>COUNTIFS('Historias y tareas'!$D$2:$D$56,$A39,'Historias y tareas'!$E$2:$E$56,D$36)</f>
        <v>0</v>
      </c>
      <c r="E39" s="27">
        <f>COUNTIFS('Historias y tareas'!$D$2:$D$56,$A39,'Historias y tareas'!$E$2:$E$56,E$36)</f>
        <v>0</v>
      </c>
      <c r="F39" s="27">
        <f>COUNTIFS('Historias y tareas'!$D$2:$D$56,$A39,'Historias y tareas'!$E$2:$E$56,F$36)</f>
        <v>0</v>
      </c>
    </row>
    <row r="40" spans="1:6" x14ac:dyDescent="0.25">
      <c r="A40" s="25" t="s">
        <v>21</v>
      </c>
      <c r="B40" s="26">
        <f>COUNTIF('Historias y tareas'!$D$2:$D$56,$A40)</f>
        <v>4</v>
      </c>
      <c r="C40" s="27">
        <f>COUNTIFS('Historias y tareas'!$D$2:$D$56,$A40,'Historias y tareas'!$E$2:$E$56,C$36)</f>
        <v>3</v>
      </c>
      <c r="D40" s="27">
        <f>COUNTIFS('Historias y tareas'!$D$2:$D$56,$A40,'Historias y tareas'!$E$2:$E$56,D$36)</f>
        <v>0</v>
      </c>
      <c r="E40" s="27">
        <f>COUNTIFS('Historias y tareas'!$D$2:$D$56,$A40,'Historias y tareas'!$E$2:$E$56,E$36)</f>
        <v>1</v>
      </c>
      <c r="F40" s="27">
        <f>COUNTIFS('Historias y tareas'!$D$2:$D$56,$A40,'Historias y tareas'!$E$2:$E$56,F$36)</f>
        <v>0</v>
      </c>
    </row>
    <row r="41" spans="1:6" x14ac:dyDescent="0.25">
      <c r="A41" s="25" t="s">
        <v>16</v>
      </c>
      <c r="B41" s="26">
        <f>COUNTIF('Historias y tareas'!$D$2:$D$56,$A41)</f>
        <v>4</v>
      </c>
      <c r="C41" s="27">
        <f>COUNTIFS('Historias y tareas'!$D$2:$D$56,$A41,'Historias y tareas'!$E$2:$E$56,C$36)</f>
        <v>4</v>
      </c>
      <c r="D41" s="27">
        <f>COUNTIFS('Historias y tareas'!$D$2:$D$56,$A41,'Historias y tareas'!$E$2:$E$56,D$36)</f>
        <v>0</v>
      </c>
      <c r="E41" s="27">
        <f>COUNTIFS('Historias y tareas'!$D$2:$D$56,$A41,'Historias y tareas'!$E$2:$E$56,E$36)</f>
        <v>0</v>
      </c>
      <c r="F41" s="27">
        <f>COUNTIFS('Historias y tareas'!$D$2:$D$56,$A41,'Historias y tareas'!$E$2:$E$56,F$36)</f>
        <v>0</v>
      </c>
    </row>
    <row r="42" spans="1:6" x14ac:dyDescent="0.25">
      <c r="A42" s="25" t="s">
        <v>62</v>
      </c>
      <c r="B42" s="26">
        <f>COUNTIF('Historias y tareas'!$D$2:$D$56,$A42)</f>
        <v>2</v>
      </c>
      <c r="C42" s="27">
        <f>COUNTIFS('Historias y tareas'!$D$2:$D$56,$A42,'Historias y tareas'!$E$2:$E$56,C$36)</f>
        <v>0</v>
      </c>
      <c r="D42" s="27">
        <f>COUNTIFS('Historias y tareas'!$D$2:$D$56,$A42,'Historias y tareas'!$E$2:$E$56,D$36)</f>
        <v>0</v>
      </c>
      <c r="E42" s="27">
        <f>COUNTIFS('Historias y tareas'!$D$2:$D$56,$A42,'Historias y tareas'!$E$2:$E$56,E$36)</f>
        <v>1</v>
      </c>
      <c r="F42" s="27">
        <f>COUNTIFS('Historias y tareas'!$D$2:$D$56,$A42,'Historias y tareas'!$E$2:$E$56,F$36)</f>
        <v>1</v>
      </c>
    </row>
    <row r="43" spans="1:6" x14ac:dyDescent="0.25">
      <c r="A43" s="25" t="s">
        <v>55</v>
      </c>
      <c r="B43" s="26">
        <f>COUNTIF('Historias y tareas'!$D$2:$D$56,$A43)</f>
        <v>1</v>
      </c>
      <c r="C43" s="27">
        <f>COUNTIFS('Historias y tareas'!$D$2:$D$56,$A43,'Historias y tareas'!$E$2:$E$56,C$36)</f>
        <v>1</v>
      </c>
      <c r="D43" s="27">
        <f>COUNTIFS('Historias y tareas'!$D$2:$D$56,$A43,'Historias y tareas'!$E$2:$E$56,D$36)</f>
        <v>0</v>
      </c>
      <c r="E43" s="27">
        <f>COUNTIFS('Historias y tareas'!$D$2:$D$56,$A43,'Historias y tareas'!$E$2:$E$56,E$36)</f>
        <v>0</v>
      </c>
      <c r="F43" s="27">
        <f>COUNTIFS('Historias y tareas'!$D$2:$D$56,$A43,'Historias y tareas'!$E$2:$E$56,F$36)</f>
        <v>0</v>
      </c>
    </row>
    <row r="44" spans="1:6" x14ac:dyDescent="0.25">
      <c r="A44" s="25" t="s">
        <v>34</v>
      </c>
      <c r="B44" s="26">
        <f>COUNTIF('Historias y tareas'!$D$2:$D$56,$A44)</f>
        <v>1</v>
      </c>
      <c r="C44" s="27">
        <f>COUNTIFS('Historias y tareas'!$D$2:$D$56,$A44,'Historias y tareas'!$E$2:$E$56,C$36)</f>
        <v>0</v>
      </c>
      <c r="D44" s="27">
        <f>COUNTIFS('Historias y tareas'!$D$2:$D$56,$A44,'Historias y tareas'!$E$2:$E$56,D$36)</f>
        <v>0</v>
      </c>
      <c r="E44" s="27">
        <f>COUNTIFS('Historias y tareas'!$D$2:$D$56,$A44,'Historias y tareas'!$E$2:$E$56,E$36)</f>
        <v>1</v>
      </c>
      <c r="F44" s="27">
        <f>COUNTIFS('Historias y tareas'!$D$2:$D$56,$A44,'Historias y tareas'!$E$2:$E$56,F$36)</f>
        <v>0</v>
      </c>
    </row>
    <row r="45" spans="1:6" x14ac:dyDescent="0.25">
      <c r="A45" s="25" t="s">
        <v>43</v>
      </c>
      <c r="B45" s="26">
        <f>COUNTIF('Historias y tareas'!$D$2:$D$56,$A45)</f>
        <v>1</v>
      </c>
      <c r="C45" s="27">
        <f>COUNTIFS('Historias y tareas'!$D$2:$D$56,$A45,'Historias y tareas'!$E$2:$E$56,C$36)</f>
        <v>0</v>
      </c>
      <c r="D45" s="27">
        <f>COUNTIFS('Historias y tareas'!$D$2:$D$56,$A45,'Historias y tareas'!$E$2:$E$56,D$36)</f>
        <v>0</v>
      </c>
      <c r="E45" s="27">
        <f>COUNTIFS('Historias y tareas'!$D$2:$D$56,$A45,'Historias y tareas'!$E$2:$E$56,E$36)</f>
        <v>1</v>
      </c>
      <c r="F45" s="27">
        <f>COUNTIFS('Historias y tareas'!$D$2:$D$56,$A45,'Historias y tareas'!$E$2:$E$56,F$36)</f>
        <v>0</v>
      </c>
    </row>
    <row r="46" spans="1:6" x14ac:dyDescent="0.25">
      <c r="A46" s="25" t="s">
        <v>65</v>
      </c>
      <c r="B46" s="26">
        <f>COUNTIF('Historias y tareas'!$D$2:$D$56,$A46)</f>
        <v>29</v>
      </c>
      <c r="C46" s="27">
        <f>COUNTIFS('Historias y tareas'!$D$2:$D$56,$A46,'Historias y tareas'!$E$2:$E$56,C$36)</f>
        <v>4</v>
      </c>
      <c r="D46" s="27">
        <f>COUNTIFS('Historias y tareas'!$D$2:$D$56,$A46,'Historias y tareas'!$E$2:$E$56,D$36)</f>
        <v>11</v>
      </c>
      <c r="E46" s="27">
        <f>COUNTIFS('Historias y tareas'!$D$2:$D$56,$A46,'Historias y tareas'!$E$2:$E$56,E$36)</f>
        <v>3</v>
      </c>
      <c r="F46" s="27">
        <f>COUNTIFS('Historias y tareas'!$D$2:$D$56,$A46,'Historias y tareas'!$E$2:$E$56,F$36)</f>
        <v>11</v>
      </c>
    </row>
    <row r="47" spans="1:6" x14ac:dyDescent="0.25">
      <c r="A47" s="18" t="s">
        <v>149</v>
      </c>
      <c r="B47" s="19">
        <f>SUM(B37:B46)</f>
        <v>55</v>
      </c>
      <c r="C47" s="19">
        <f>SUM(C37:C46)</f>
        <v>21</v>
      </c>
      <c r="D47" s="19">
        <f>SUM(D37:D46)</f>
        <v>11</v>
      </c>
      <c r="E47" s="19">
        <f>SUM(E37:E46)</f>
        <v>9</v>
      </c>
      <c r="F47" s="19">
        <f>SUM(F37:F46)</f>
        <v>14</v>
      </c>
    </row>
    <row r="48" spans="1:6" x14ac:dyDescent="0.25">
      <c r="A48" s="28" t="s">
        <v>154</v>
      </c>
    </row>
  </sheetData>
  <mergeCells count="2">
    <mergeCell ref="A2:F2"/>
    <mergeCell ref="A25:F25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Historias y tareas</vt:lpstr>
      <vt:lpstr>Resumen</vt:lpstr>
      <vt:lpstr>'Historias y tareas'!Títulos_a_imprimir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EXEQUIEL SAMUEL ALVARADO NAVARRETE</cp:lastModifiedBy>
  <dcterms:created xsi:type="dcterms:W3CDTF">2026-10-16T07:30:53Z</dcterms:created>
  <dcterms:modified xsi:type="dcterms:W3CDTF">2026-10-16T07:31:50Z</dcterms:modified>
</cp:coreProperties>
</file>