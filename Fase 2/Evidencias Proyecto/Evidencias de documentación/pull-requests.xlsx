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uoc\Capstone-Grupo-2\clases\entregables\Fase 2\Evidencias Proyecto\Evidencias de documentación\"/>
    </mc:Choice>
  </mc:AlternateContent>
  <xr:revisionPtr revIDLastSave="0" documentId="13_ncr:1_{C971480C-8092-4C61-AEA6-51D4BC1D1E9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ull requests" sheetId="1" r:id="rId1"/>
    <sheet name="Resumen" sheetId="2" r:id="rId2"/>
  </sheets>
  <definedNames>
    <definedName name="_xlnm._FilterDatabase" localSheetId="0" hidden="1">'Pull requests'!$A$1:$G$32</definedName>
    <definedName name="_xlnm.Print_Titles" localSheetId="0">'Pull requests'!$1:$1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D15" i="2"/>
  <c r="D17" i="2" s="1"/>
  <c r="E10" i="2"/>
  <c r="D10" i="2"/>
  <c r="C10" i="2"/>
  <c r="E9" i="2"/>
  <c r="D9" i="2"/>
  <c r="C9" i="2"/>
  <c r="F9" i="2" s="1"/>
  <c r="E8" i="2"/>
  <c r="D8" i="2"/>
  <c r="C8" i="2"/>
  <c r="F8" i="2" s="1"/>
  <c r="E7" i="2"/>
  <c r="D7" i="2"/>
  <c r="C7" i="2"/>
  <c r="F7" i="2" s="1"/>
  <c r="E6" i="2"/>
  <c r="D6" i="2"/>
  <c r="C6" i="2"/>
  <c r="F6" i="2" s="1"/>
  <c r="F10" i="2" l="1"/>
  <c r="C11" i="2"/>
</calcChain>
</file>

<file path=xl/sharedStrings.xml><?xml version="1.0" encoding="utf-8"?>
<sst xmlns="http://schemas.openxmlformats.org/spreadsheetml/2006/main" count="159" uniqueCount="96">
  <si>
    <t>N°</t>
  </si>
  <si>
    <t>Título</t>
  </si>
  <si>
    <t>Autor</t>
  </si>
  <si>
    <t>Creado</t>
  </si>
  <si>
    <t>Fusionado</t>
  </si>
  <si>
    <t>Estado</t>
  </si>
  <si>
    <t>Enlace</t>
  </si>
  <si>
    <t>Pruebas de extraccion de texto de documentos (SCRUM-85)</t>
  </si>
  <si>
    <t>Exequiel Alvarado</t>
  </si>
  <si>
    <t>https://github.com/Exequiel-Alvarado/Capstone-Grupo-2/pull/1</t>
  </si>
  <si>
    <t>Pruebas de troceo y vectorizacion del contenido (SCRUM-132)</t>
  </si>
  <si>
    <t>https://github.com/Exequiel-Alvarado/Capstone-Grupo-2/pull/2</t>
  </si>
  <si>
    <t>Pruebas de configuracion de los dos agentes del bot (SCRUM-91)</t>
  </si>
  <si>
    <t>https://github.com/Exequiel-Alvarado/Capstone-Grupo-2/pull/3</t>
  </si>
  <si>
    <t>Arregla el ruteo del frontend desplegado y pone al dia el ADR 0001</t>
  </si>
  <si>
    <t>https://github.com/Exequiel-Alvarado/Capstone-Grupo-2/pull/4</t>
  </si>
  <si>
    <t>Migra el motor conversacional a una cadena LangChain v1 (SCRUM-53)</t>
  </si>
  <si>
    <t>https://github.com/Exequiel-Alvarado/Capstone-Grupo-2/pull/5</t>
  </si>
  <si>
    <t>Identidad de marca de Alloxentric en el frontend</t>
  </si>
  <si>
    <t>Cerrado sin fusionar</t>
  </si>
  <si>
    <t>https://github.com/Exequiel-Alvarado/Capstone-Grupo-2/pull/6</t>
  </si>
  <si>
    <t>Cifra el almacen local de claves de DeepSeek (SCRUM-18)</t>
  </si>
  <si>
    <t>https://github.com/Exequiel-Alvarado/Capstone-Grupo-2/pull/7</t>
  </si>
  <si>
    <t>Busqueda semantica filtrada por empresa y tipo de agente (SCRUM-145)</t>
  </si>
  <si>
    <t>https://github.com/Exequiel-Alvarado/Capstone-Grupo-2/pull/8</t>
  </si>
  <si>
    <t>Front/diana</t>
  </si>
  <si>
    <t>Diana Guerrero</t>
  </si>
  <si>
    <t>https://github.com/Exequiel-Alvarado/Capstone-Grupo-2/pull/9</t>
  </si>
  <si>
    <t>Conexion a bd</t>
  </si>
  <si>
    <t>Manuel Jansen</t>
  </si>
  <si>
    <t>https://github.com/Exequiel-Alvarado/Capstone-Grupo-2/pull/10</t>
  </si>
  <si>
    <t>Memoria de conversacion y proveedor de modelo sustituible (SCRUM-57, SCRUM-22)</t>
  </si>
  <si>
    <t>https://github.com/Exequiel-Alvarado/Capstone-Grupo-2/pull/11</t>
  </si>
  <si>
    <t>Backend/almacenamiento serverless/exequiel</t>
  </si>
  <si>
    <t>https://github.com/Exequiel-Alvarado/Capstone-Grupo-2/pull/12</t>
  </si>
  <si>
    <t>Portada publica y un sitio donde hablar con el bot (SCRUM-159)</t>
  </si>
  <si>
    <t>https://github.com/Exequiel-Alvarado/Capstone-Grupo-2/pull/13</t>
  </si>
  <si>
    <t>Conocimiento de la empresa de ejemplo, favicon y documentacion al dia</t>
  </si>
  <si>
    <t>https://github.com/Exequiel-Alvarado/Capstone-Grupo-2/pull/14</t>
  </si>
  <si>
    <t>SCRUM-79 Pruebas de logout: token único y all_sessions</t>
  </si>
  <si>
    <t>Cristian Jorquera</t>
  </si>
  <si>
    <t>https://github.com/Exequiel-Alvarado/Capstone-Grupo-2/pull/15</t>
  </si>
  <si>
    <t>Agrega pruebas del chat publico y del limite de mensajes (SCRUM-111)</t>
  </si>
  <si>
    <t>https://github.com/Exequiel-Alvarado/Capstone-Grupo-2/pull/16</t>
  </si>
  <si>
    <t>SCRUM-113: pruebas de derivación con y sin ejecutivos disponibles</t>
  </si>
  <si>
    <t>https://github.com/Exequiel-Alvarado/Capstone-Grupo-2/pull/17</t>
  </si>
  <si>
    <t>SCRUM-35 Pruebas de derivación a ejecutivo disponible</t>
  </si>
  <si>
    <t>https://github.com/Exequiel-Alvarado/Capstone-Grupo-2/pull/18</t>
  </si>
  <si>
    <t>SCRUM-137 Pruebas de QA: alta de ejecutivos por empresa</t>
  </si>
  <si>
    <t>https://github.com/Exequiel-Alvarado/Capstone-Grupo-2/pull/19</t>
  </si>
  <si>
    <t>Corrige los hallazgos de QA de derivacion y ejecutivos, y prueba en PostgreSQL</t>
  </si>
  <si>
    <t>https://github.com/Exequiel-Alvarado/Capstone-Grupo-2/pull/20</t>
  </si>
  <si>
    <t>Semilla con un ejecutivo tecnico y uno comercial por empresa</t>
  </si>
  <si>
    <t>https://github.com/Exequiel-Alvarado/Capstone-Grupo-2/pull/21</t>
  </si>
  <si>
    <t>Reglas del escaneo web configurables por empresa</t>
  </si>
  <si>
    <t>https://github.com/Exequiel-Alvarado/Capstone-Grupo-2/pull/22</t>
  </si>
  <si>
    <t>Base de conocimiento como CRUD completo desde el panel</t>
  </si>
  <si>
    <t>https://github.com/Exequiel-Alvarado/Capstone-Grupo-2/pull/23</t>
  </si>
  <si>
    <t>Cuenta del usuario final en el chat para ver sus conversaciones anteriores</t>
  </si>
  <si>
    <t>https://github.com/Exequiel-Alvarado/Capstone-Grupo-2/pull/24</t>
  </si>
  <si>
    <t>El motor conversacional pasa a ser un grafo de LangGraph</t>
  </si>
  <si>
    <t>https://github.com/Exequiel-Alvarado/Capstone-Grupo-2/pull/25</t>
  </si>
  <si>
    <t>Simulacion de las cuatro empresas iniciales con conocimiento y actividad</t>
  </si>
  <si>
    <t>https://github.com/Exequiel-Alvarado/Capstone-Grupo-2/pull/26</t>
  </si>
  <si>
    <t>Umbral de relevancia, embedding hash normalizado y clasificador con fallas</t>
  </si>
  <si>
    <t>https://github.com/Exequiel-Alvarado/Capstone-Grupo-2/pull/27</t>
  </si>
  <si>
    <t>Una conversacion ya derivada no se vuelve a derivar (500 tras el ticket)</t>
  </si>
  <si>
    <t>https://github.com/Exequiel-Alvarado/Capstone-Grupo-2/pull/28</t>
  </si>
  <si>
    <t>Desactivación/Activación empresa</t>
  </si>
  <si>
    <t>https://github.com/Exequiel-Alvarado/Capstone-Grupo-2/pull/29</t>
  </si>
  <si>
    <t>Búsqueda exacta dentro de cada empresa: el índice HNSW se saltaba la mejor coincidencia</t>
  </si>
  <si>
    <t>https://github.com/Exequiel-Alvarado/Capstone-Grupo-2/pull/30</t>
  </si>
  <si>
    <t>Nodo comprobar: ningún dato que no esté en la base llega al cliente</t>
  </si>
  <si>
    <t>https://github.com/Exequiel-Alvarado/Capstone-Grupo-2/pull/31</t>
  </si>
  <si>
    <t>Pull requests del repositorio Capstone-Grupo-2</t>
  </si>
  <si>
    <t>Fuente: GitHub (https://github.com/Exequiel-Alvarado/Capstone-Grupo-2), exportado el 16-10-2026 (prs.tsv). Títulos tal como figuran en GitHub; fechas según la API de GitHub (UTC). Las cifras son fórmulas COUNTIF/COUNTIFS sobre la hoja «Pull requests».</t>
  </si>
  <si>
    <t>PR por autor</t>
  </si>
  <si>
    <t>Usuario GitHub</t>
  </si>
  <si>
    <t>PR totales</t>
  </si>
  <si>
    <t>Fusionados</t>
  </si>
  <si>
    <t>Cerrados sin fusionar</t>
  </si>
  <si>
    <t>% de los PR</t>
  </si>
  <si>
    <t>Exequiel-Alvarado</t>
  </si>
  <si>
    <t>cmjorquera</t>
  </si>
  <si>
    <t>ManuelJansen</t>
  </si>
  <si>
    <t>DiaGuerrero</t>
  </si>
  <si>
    <t>Total</t>
  </si>
  <si>
    <t>Control: la suma por autor debe coincidir con el total.</t>
  </si>
  <si>
    <t>PR por mes de creación</t>
  </si>
  <si>
    <t>Mes</t>
  </si>
  <si>
    <t>Desde</t>
  </si>
  <si>
    <t>Hasta</t>
  </si>
  <si>
    <t>PR creados</t>
  </si>
  <si>
    <t>Septiembre 2026</t>
  </si>
  <si>
    <t>Octubre 2026</t>
  </si>
  <si>
    <t>«Hasta» es exclusivo: cuenta los PR creados antes de esa fecha.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</si>
</sst>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165" fontId="2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4" fillId="0" borderId="0" xfId="0" applyFont="1"/>
    <xf numFmtId="0" fontId="6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5" fillId="0" borderId="0" xfId="0" applyFont="1"/>
    <xf numFmtId="165" fontId="2" fillId="0" borderId="1" xfId="0" applyNumberFormat="1" applyFont="1" applyBorder="1" applyAlignment="1">
      <alignment horizontal="center"/>
    </xf>
    <xf numFmtId="0" fontId="0" fillId="0" borderId="2" xfId="0" applyBorder="1"/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xequiel-Alvarado/Capstone-Grupo-2/pull/8" TargetMode="External"/><Relationship Id="rId13" Type="http://schemas.openxmlformats.org/officeDocument/2006/relationships/hyperlink" Target="https://github.com/Exequiel-Alvarado/Capstone-Grupo-2/pull/13" TargetMode="External"/><Relationship Id="rId18" Type="http://schemas.openxmlformats.org/officeDocument/2006/relationships/hyperlink" Target="https://github.com/Exequiel-Alvarado/Capstone-Grupo-2/pull/18" TargetMode="External"/><Relationship Id="rId26" Type="http://schemas.openxmlformats.org/officeDocument/2006/relationships/hyperlink" Target="https://github.com/Exequiel-Alvarado/Capstone-Grupo-2/pull/26" TargetMode="External"/><Relationship Id="rId3" Type="http://schemas.openxmlformats.org/officeDocument/2006/relationships/hyperlink" Target="https://github.com/Exequiel-Alvarado/Capstone-Grupo-2/pull/3" TargetMode="External"/><Relationship Id="rId21" Type="http://schemas.openxmlformats.org/officeDocument/2006/relationships/hyperlink" Target="https://github.com/Exequiel-Alvarado/Capstone-Grupo-2/pull/21" TargetMode="External"/><Relationship Id="rId7" Type="http://schemas.openxmlformats.org/officeDocument/2006/relationships/hyperlink" Target="https://github.com/Exequiel-Alvarado/Capstone-Grupo-2/pull/7" TargetMode="External"/><Relationship Id="rId12" Type="http://schemas.openxmlformats.org/officeDocument/2006/relationships/hyperlink" Target="https://github.com/Exequiel-Alvarado/Capstone-Grupo-2/pull/12" TargetMode="External"/><Relationship Id="rId17" Type="http://schemas.openxmlformats.org/officeDocument/2006/relationships/hyperlink" Target="https://github.com/Exequiel-Alvarado/Capstone-Grupo-2/pull/17" TargetMode="External"/><Relationship Id="rId25" Type="http://schemas.openxmlformats.org/officeDocument/2006/relationships/hyperlink" Target="https://github.com/Exequiel-Alvarado/Capstone-Grupo-2/pull/25" TargetMode="External"/><Relationship Id="rId2" Type="http://schemas.openxmlformats.org/officeDocument/2006/relationships/hyperlink" Target="https://github.com/Exequiel-Alvarado/Capstone-Grupo-2/pull/2" TargetMode="External"/><Relationship Id="rId16" Type="http://schemas.openxmlformats.org/officeDocument/2006/relationships/hyperlink" Target="https://github.com/Exequiel-Alvarado/Capstone-Grupo-2/pull/16" TargetMode="External"/><Relationship Id="rId20" Type="http://schemas.openxmlformats.org/officeDocument/2006/relationships/hyperlink" Target="https://github.com/Exequiel-Alvarado/Capstone-Grupo-2/pull/20" TargetMode="External"/><Relationship Id="rId29" Type="http://schemas.openxmlformats.org/officeDocument/2006/relationships/hyperlink" Target="https://github.com/Exequiel-Alvarado/Capstone-Grupo-2/pull/29" TargetMode="External"/><Relationship Id="rId1" Type="http://schemas.openxmlformats.org/officeDocument/2006/relationships/hyperlink" Target="https://github.com/Exequiel-Alvarado/Capstone-Grupo-2/pull/1" TargetMode="External"/><Relationship Id="rId6" Type="http://schemas.openxmlformats.org/officeDocument/2006/relationships/hyperlink" Target="https://github.com/Exequiel-Alvarado/Capstone-Grupo-2/pull/6" TargetMode="External"/><Relationship Id="rId11" Type="http://schemas.openxmlformats.org/officeDocument/2006/relationships/hyperlink" Target="https://github.com/Exequiel-Alvarado/Capstone-Grupo-2/pull/11" TargetMode="External"/><Relationship Id="rId24" Type="http://schemas.openxmlformats.org/officeDocument/2006/relationships/hyperlink" Target="https://github.com/Exequiel-Alvarado/Capstone-Grupo-2/pull/24" TargetMode="External"/><Relationship Id="rId5" Type="http://schemas.openxmlformats.org/officeDocument/2006/relationships/hyperlink" Target="https://github.com/Exequiel-Alvarado/Capstone-Grupo-2/pull/5" TargetMode="External"/><Relationship Id="rId15" Type="http://schemas.openxmlformats.org/officeDocument/2006/relationships/hyperlink" Target="https://github.com/Exequiel-Alvarado/Capstone-Grupo-2/pull/15" TargetMode="External"/><Relationship Id="rId23" Type="http://schemas.openxmlformats.org/officeDocument/2006/relationships/hyperlink" Target="https://github.com/Exequiel-Alvarado/Capstone-Grupo-2/pull/23" TargetMode="External"/><Relationship Id="rId28" Type="http://schemas.openxmlformats.org/officeDocument/2006/relationships/hyperlink" Target="https://github.com/Exequiel-Alvarado/Capstone-Grupo-2/pull/28" TargetMode="External"/><Relationship Id="rId10" Type="http://schemas.openxmlformats.org/officeDocument/2006/relationships/hyperlink" Target="https://github.com/Exequiel-Alvarado/Capstone-Grupo-2/pull/10" TargetMode="External"/><Relationship Id="rId19" Type="http://schemas.openxmlformats.org/officeDocument/2006/relationships/hyperlink" Target="https://github.com/Exequiel-Alvarado/Capstone-Grupo-2/pull/19" TargetMode="External"/><Relationship Id="rId31" Type="http://schemas.openxmlformats.org/officeDocument/2006/relationships/hyperlink" Target="https://github.com/Exequiel-Alvarado/Capstone-Grupo-2/pull/31" TargetMode="External"/><Relationship Id="rId4" Type="http://schemas.openxmlformats.org/officeDocument/2006/relationships/hyperlink" Target="https://github.com/Exequiel-Alvarado/Capstone-Grupo-2/pull/4" TargetMode="External"/><Relationship Id="rId9" Type="http://schemas.openxmlformats.org/officeDocument/2006/relationships/hyperlink" Target="https://github.com/Exequiel-Alvarado/Capstone-Grupo-2/pull/9" TargetMode="External"/><Relationship Id="rId14" Type="http://schemas.openxmlformats.org/officeDocument/2006/relationships/hyperlink" Target="https://github.com/Exequiel-Alvarado/Capstone-Grupo-2/pull/14" TargetMode="External"/><Relationship Id="rId22" Type="http://schemas.openxmlformats.org/officeDocument/2006/relationships/hyperlink" Target="https://github.com/Exequiel-Alvarado/Capstone-Grupo-2/pull/22" TargetMode="External"/><Relationship Id="rId27" Type="http://schemas.openxmlformats.org/officeDocument/2006/relationships/hyperlink" Target="https://github.com/Exequiel-Alvarado/Capstone-Grupo-2/pull/27" TargetMode="External"/><Relationship Id="rId30" Type="http://schemas.openxmlformats.org/officeDocument/2006/relationships/hyperlink" Target="https://github.com/Exequiel-Alvarado/Capstone-Grupo-2/pull/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" width="74" customWidth="1"/>
    <col min="3" max="3" width="19" customWidth="1"/>
    <col min="4" max="5" width="12" customWidth="1"/>
    <col min="6" max="6" width="20" customWidth="1"/>
    <col min="7" max="7" width="62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4" t="s">
        <v>8</v>
      </c>
      <c r="D2" s="5">
        <v>46288</v>
      </c>
      <c r="E2" s="5">
        <v>46288</v>
      </c>
      <c r="F2" s="4" t="s">
        <v>4</v>
      </c>
      <c r="G2" s="6" t="s">
        <v>9</v>
      </c>
    </row>
    <row r="3" spans="1:7" x14ac:dyDescent="0.25">
      <c r="A3" s="2">
        <v>2</v>
      </c>
      <c r="B3" s="3" t="s">
        <v>10</v>
      </c>
      <c r="C3" s="4" t="s">
        <v>8</v>
      </c>
      <c r="D3" s="5">
        <v>46288</v>
      </c>
      <c r="E3" s="5">
        <v>46288</v>
      </c>
      <c r="F3" s="4" t="s">
        <v>4</v>
      </c>
      <c r="G3" s="6" t="s">
        <v>11</v>
      </c>
    </row>
    <row r="4" spans="1:7" x14ac:dyDescent="0.25">
      <c r="A4" s="2">
        <v>3</v>
      </c>
      <c r="B4" s="3" t="s">
        <v>12</v>
      </c>
      <c r="C4" s="4" t="s">
        <v>8</v>
      </c>
      <c r="D4" s="5">
        <v>46288</v>
      </c>
      <c r="E4" s="5">
        <v>46288</v>
      </c>
      <c r="F4" s="4" t="s">
        <v>4</v>
      </c>
      <c r="G4" s="6" t="s">
        <v>13</v>
      </c>
    </row>
    <row r="5" spans="1:7" x14ac:dyDescent="0.25">
      <c r="A5" s="2">
        <v>4</v>
      </c>
      <c r="B5" s="3" t="s">
        <v>14</v>
      </c>
      <c r="C5" s="4" t="s">
        <v>8</v>
      </c>
      <c r="D5" s="5">
        <v>46288</v>
      </c>
      <c r="E5" s="5">
        <v>46288</v>
      </c>
      <c r="F5" s="4" t="s">
        <v>4</v>
      </c>
      <c r="G5" s="6" t="s">
        <v>15</v>
      </c>
    </row>
    <row r="6" spans="1:7" x14ac:dyDescent="0.25">
      <c r="A6" s="2">
        <v>5</v>
      </c>
      <c r="B6" s="3" t="s">
        <v>16</v>
      </c>
      <c r="C6" s="4" t="s">
        <v>8</v>
      </c>
      <c r="D6" s="5">
        <v>46288</v>
      </c>
      <c r="E6" s="5">
        <v>46288</v>
      </c>
      <c r="F6" s="4" t="s">
        <v>4</v>
      </c>
      <c r="G6" s="6" t="s">
        <v>17</v>
      </c>
    </row>
    <row r="7" spans="1:7" x14ac:dyDescent="0.25">
      <c r="A7" s="7">
        <v>6</v>
      </c>
      <c r="B7" s="8" t="s">
        <v>18</v>
      </c>
      <c r="C7" s="9" t="s">
        <v>8</v>
      </c>
      <c r="D7" s="10">
        <v>46288</v>
      </c>
      <c r="E7" s="10"/>
      <c r="F7" s="9" t="s">
        <v>19</v>
      </c>
      <c r="G7" s="11" t="s">
        <v>20</v>
      </c>
    </row>
    <row r="8" spans="1:7" x14ac:dyDescent="0.25">
      <c r="A8" s="2">
        <v>7</v>
      </c>
      <c r="B8" s="3" t="s">
        <v>21</v>
      </c>
      <c r="C8" s="4" t="s">
        <v>8</v>
      </c>
      <c r="D8" s="5">
        <v>46288</v>
      </c>
      <c r="E8" s="5">
        <v>46288</v>
      </c>
      <c r="F8" s="4" t="s">
        <v>4</v>
      </c>
      <c r="G8" s="6" t="s">
        <v>22</v>
      </c>
    </row>
    <row r="9" spans="1:7" x14ac:dyDescent="0.25">
      <c r="A9" s="2">
        <v>8</v>
      </c>
      <c r="B9" s="3" t="s">
        <v>23</v>
      </c>
      <c r="C9" s="4" t="s">
        <v>8</v>
      </c>
      <c r="D9" s="5">
        <v>46288</v>
      </c>
      <c r="E9" s="5">
        <v>46288</v>
      </c>
      <c r="F9" s="4" t="s">
        <v>4</v>
      </c>
      <c r="G9" s="6" t="s">
        <v>24</v>
      </c>
    </row>
    <row r="10" spans="1:7" x14ac:dyDescent="0.25">
      <c r="A10" s="2">
        <v>9</v>
      </c>
      <c r="B10" s="3" t="s">
        <v>25</v>
      </c>
      <c r="C10" s="4" t="s">
        <v>26</v>
      </c>
      <c r="D10" s="5">
        <v>46288</v>
      </c>
      <c r="E10" s="5">
        <v>46289</v>
      </c>
      <c r="F10" s="4" t="s">
        <v>4</v>
      </c>
      <c r="G10" s="6" t="s">
        <v>27</v>
      </c>
    </row>
    <row r="11" spans="1:7" x14ac:dyDescent="0.25">
      <c r="A11" s="2">
        <v>10</v>
      </c>
      <c r="B11" s="3" t="s">
        <v>28</v>
      </c>
      <c r="C11" s="4" t="s">
        <v>29</v>
      </c>
      <c r="D11" s="5">
        <v>46292</v>
      </c>
      <c r="E11" s="5">
        <v>46294</v>
      </c>
      <c r="F11" s="4" t="s">
        <v>4</v>
      </c>
      <c r="G11" s="6" t="s">
        <v>30</v>
      </c>
    </row>
    <row r="12" spans="1:7" x14ac:dyDescent="0.25">
      <c r="A12" s="2">
        <v>11</v>
      </c>
      <c r="B12" s="3" t="s">
        <v>31</v>
      </c>
      <c r="C12" s="4" t="s">
        <v>8</v>
      </c>
      <c r="D12" s="5">
        <v>46297</v>
      </c>
      <c r="E12" s="5">
        <v>46297</v>
      </c>
      <c r="F12" s="4" t="s">
        <v>4</v>
      </c>
      <c r="G12" s="6" t="s">
        <v>32</v>
      </c>
    </row>
    <row r="13" spans="1:7" x14ac:dyDescent="0.25">
      <c r="A13" s="2">
        <v>12</v>
      </c>
      <c r="B13" s="3" t="s">
        <v>33</v>
      </c>
      <c r="C13" s="4" t="s">
        <v>8</v>
      </c>
      <c r="D13" s="5">
        <v>46297</v>
      </c>
      <c r="E13" s="5">
        <v>46297</v>
      </c>
      <c r="F13" s="4" t="s">
        <v>4</v>
      </c>
      <c r="G13" s="6" t="s">
        <v>34</v>
      </c>
    </row>
    <row r="14" spans="1:7" x14ac:dyDescent="0.25">
      <c r="A14" s="2">
        <v>13</v>
      </c>
      <c r="B14" s="3" t="s">
        <v>35</v>
      </c>
      <c r="C14" s="4" t="s">
        <v>8</v>
      </c>
      <c r="D14" s="5">
        <v>46297</v>
      </c>
      <c r="E14" s="5">
        <v>46297</v>
      </c>
      <c r="F14" s="4" t="s">
        <v>4</v>
      </c>
      <c r="G14" s="6" t="s">
        <v>36</v>
      </c>
    </row>
    <row r="15" spans="1:7" x14ac:dyDescent="0.25">
      <c r="A15" s="2">
        <v>14</v>
      </c>
      <c r="B15" s="3" t="s">
        <v>37</v>
      </c>
      <c r="C15" s="4" t="s">
        <v>8</v>
      </c>
      <c r="D15" s="5">
        <v>46297</v>
      </c>
      <c r="E15" s="5">
        <v>46297</v>
      </c>
      <c r="F15" s="4" t="s">
        <v>4</v>
      </c>
      <c r="G15" s="6" t="s">
        <v>38</v>
      </c>
    </row>
    <row r="16" spans="1:7" x14ac:dyDescent="0.25">
      <c r="A16" s="2">
        <v>15</v>
      </c>
      <c r="B16" s="3" t="s">
        <v>39</v>
      </c>
      <c r="C16" s="4" t="s">
        <v>40</v>
      </c>
      <c r="D16" s="5">
        <v>46301</v>
      </c>
      <c r="E16" s="5">
        <v>46304</v>
      </c>
      <c r="F16" s="4" t="s">
        <v>4</v>
      </c>
      <c r="G16" s="6" t="s">
        <v>41</v>
      </c>
    </row>
    <row r="17" spans="1:7" x14ac:dyDescent="0.25">
      <c r="A17" s="2">
        <v>16</v>
      </c>
      <c r="B17" s="3" t="s">
        <v>42</v>
      </c>
      <c r="C17" s="4" t="s">
        <v>40</v>
      </c>
      <c r="D17" s="5">
        <v>46301</v>
      </c>
      <c r="E17" s="5">
        <v>46304</v>
      </c>
      <c r="F17" s="4" t="s">
        <v>4</v>
      </c>
      <c r="G17" s="6" t="s">
        <v>43</v>
      </c>
    </row>
    <row r="18" spans="1:7" x14ac:dyDescent="0.25">
      <c r="A18" s="2">
        <v>17</v>
      </c>
      <c r="B18" s="3" t="s">
        <v>44</v>
      </c>
      <c r="C18" s="4" t="s">
        <v>40</v>
      </c>
      <c r="D18" s="5">
        <v>46301</v>
      </c>
      <c r="E18" s="5">
        <v>46304</v>
      </c>
      <c r="F18" s="4" t="s">
        <v>4</v>
      </c>
      <c r="G18" s="6" t="s">
        <v>45</v>
      </c>
    </row>
    <row r="19" spans="1:7" x14ac:dyDescent="0.25">
      <c r="A19" s="2">
        <v>18</v>
      </c>
      <c r="B19" s="3" t="s">
        <v>46</v>
      </c>
      <c r="C19" s="4" t="s">
        <v>40</v>
      </c>
      <c r="D19" s="5">
        <v>46301</v>
      </c>
      <c r="E19" s="5">
        <v>46304</v>
      </c>
      <c r="F19" s="4" t="s">
        <v>4</v>
      </c>
      <c r="G19" s="6" t="s">
        <v>47</v>
      </c>
    </row>
    <row r="20" spans="1:7" x14ac:dyDescent="0.25">
      <c r="A20" s="2">
        <v>19</v>
      </c>
      <c r="B20" s="3" t="s">
        <v>48</v>
      </c>
      <c r="C20" s="4" t="s">
        <v>40</v>
      </c>
      <c r="D20" s="5">
        <v>46301</v>
      </c>
      <c r="E20" s="5">
        <v>46304</v>
      </c>
      <c r="F20" s="4" t="s">
        <v>4</v>
      </c>
      <c r="G20" s="6" t="s">
        <v>49</v>
      </c>
    </row>
    <row r="21" spans="1:7" x14ac:dyDescent="0.25">
      <c r="A21" s="2">
        <v>20</v>
      </c>
      <c r="B21" s="3" t="s">
        <v>50</v>
      </c>
      <c r="C21" s="4" t="s">
        <v>8</v>
      </c>
      <c r="D21" s="5">
        <v>46304</v>
      </c>
      <c r="E21" s="5">
        <v>46304</v>
      </c>
      <c r="F21" s="4" t="s">
        <v>4</v>
      </c>
      <c r="G21" s="6" t="s">
        <v>51</v>
      </c>
    </row>
    <row r="22" spans="1:7" x14ac:dyDescent="0.25">
      <c r="A22" s="2">
        <v>21</v>
      </c>
      <c r="B22" s="3" t="s">
        <v>52</v>
      </c>
      <c r="C22" s="4" t="s">
        <v>8</v>
      </c>
      <c r="D22" s="5">
        <v>46304</v>
      </c>
      <c r="E22" s="5">
        <v>46304</v>
      </c>
      <c r="F22" s="4" t="s">
        <v>4</v>
      </c>
      <c r="G22" s="6" t="s">
        <v>53</v>
      </c>
    </row>
    <row r="23" spans="1:7" x14ac:dyDescent="0.25">
      <c r="A23" s="2">
        <v>22</v>
      </c>
      <c r="B23" s="3" t="s">
        <v>54</v>
      </c>
      <c r="C23" s="4" t="s">
        <v>8</v>
      </c>
      <c r="D23" s="5">
        <v>46304</v>
      </c>
      <c r="E23" s="5">
        <v>46304</v>
      </c>
      <c r="F23" s="4" t="s">
        <v>4</v>
      </c>
      <c r="G23" s="6" t="s">
        <v>55</v>
      </c>
    </row>
    <row r="24" spans="1:7" x14ac:dyDescent="0.25">
      <c r="A24" s="2">
        <v>23</v>
      </c>
      <c r="B24" s="3" t="s">
        <v>56</v>
      </c>
      <c r="C24" s="4" t="s">
        <v>8</v>
      </c>
      <c r="D24" s="5">
        <v>46304</v>
      </c>
      <c r="E24" s="5">
        <v>46304</v>
      </c>
      <c r="F24" s="4" t="s">
        <v>4</v>
      </c>
      <c r="G24" s="6" t="s">
        <v>57</v>
      </c>
    </row>
    <row r="25" spans="1:7" x14ac:dyDescent="0.25">
      <c r="A25" s="2">
        <v>24</v>
      </c>
      <c r="B25" s="3" t="s">
        <v>58</v>
      </c>
      <c r="C25" s="4" t="s">
        <v>8</v>
      </c>
      <c r="D25" s="5">
        <v>46304</v>
      </c>
      <c r="E25" s="5">
        <v>46304</v>
      </c>
      <c r="F25" s="4" t="s">
        <v>4</v>
      </c>
      <c r="G25" s="6" t="s">
        <v>59</v>
      </c>
    </row>
    <row r="26" spans="1:7" x14ac:dyDescent="0.25">
      <c r="A26" s="2">
        <v>25</v>
      </c>
      <c r="B26" s="3" t="s">
        <v>60</v>
      </c>
      <c r="C26" s="4" t="s">
        <v>8</v>
      </c>
      <c r="D26" s="5">
        <v>46304</v>
      </c>
      <c r="E26" s="5">
        <v>46304</v>
      </c>
      <c r="F26" s="4" t="s">
        <v>4</v>
      </c>
      <c r="G26" s="6" t="s">
        <v>61</v>
      </c>
    </row>
    <row r="27" spans="1:7" x14ac:dyDescent="0.25">
      <c r="A27" s="2">
        <v>26</v>
      </c>
      <c r="B27" s="3" t="s">
        <v>62</v>
      </c>
      <c r="C27" s="4" t="s">
        <v>8</v>
      </c>
      <c r="D27" s="5">
        <v>46304</v>
      </c>
      <c r="E27" s="5">
        <v>46304</v>
      </c>
      <c r="F27" s="4" t="s">
        <v>4</v>
      </c>
      <c r="G27" s="6" t="s">
        <v>63</v>
      </c>
    </row>
    <row r="28" spans="1:7" x14ac:dyDescent="0.25">
      <c r="A28" s="2">
        <v>27</v>
      </c>
      <c r="B28" s="3" t="s">
        <v>64</v>
      </c>
      <c r="C28" s="4" t="s">
        <v>8</v>
      </c>
      <c r="D28" s="5">
        <v>46304</v>
      </c>
      <c r="E28" s="5">
        <v>46304</v>
      </c>
      <c r="F28" s="4" t="s">
        <v>4</v>
      </c>
      <c r="G28" s="6" t="s">
        <v>65</v>
      </c>
    </row>
    <row r="29" spans="1:7" x14ac:dyDescent="0.25">
      <c r="A29" s="2">
        <v>28</v>
      </c>
      <c r="B29" s="3" t="s">
        <v>66</v>
      </c>
      <c r="C29" s="4" t="s">
        <v>8</v>
      </c>
      <c r="D29" s="5">
        <v>46304</v>
      </c>
      <c r="E29" s="5">
        <v>46304</v>
      </c>
      <c r="F29" s="4" t="s">
        <v>4</v>
      </c>
      <c r="G29" s="6" t="s">
        <v>67</v>
      </c>
    </row>
    <row r="30" spans="1:7" x14ac:dyDescent="0.25">
      <c r="A30" s="2">
        <v>29</v>
      </c>
      <c r="B30" s="3" t="s">
        <v>68</v>
      </c>
      <c r="C30" s="4" t="s">
        <v>29</v>
      </c>
      <c r="D30" s="5">
        <v>46311</v>
      </c>
      <c r="E30" s="5">
        <v>46311</v>
      </c>
      <c r="F30" s="4" t="s">
        <v>4</v>
      </c>
      <c r="G30" s="6" t="s">
        <v>69</v>
      </c>
    </row>
    <row r="31" spans="1:7" ht="25.5" x14ac:dyDescent="0.25">
      <c r="A31" s="2">
        <v>30</v>
      </c>
      <c r="B31" s="3" t="s">
        <v>70</v>
      </c>
      <c r="C31" s="4" t="s">
        <v>8</v>
      </c>
      <c r="D31" s="5">
        <v>46311</v>
      </c>
      <c r="E31" s="5">
        <v>46311</v>
      </c>
      <c r="F31" s="4" t="s">
        <v>4</v>
      </c>
      <c r="G31" s="6" t="s">
        <v>71</v>
      </c>
    </row>
    <row r="32" spans="1:7" x14ac:dyDescent="0.25">
      <c r="A32" s="2">
        <v>31</v>
      </c>
      <c r="B32" s="3" t="s">
        <v>72</v>
      </c>
      <c r="C32" s="4" t="s">
        <v>8</v>
      </c>
      <c r="D32" s="5">
        <v>46311</v>
      </c>
      <c r="E32" s="5">
        <v>46311</v>
      </c>
      <c r="F32" s="4" t="s">
        <v>4</v>
      </c>
      <c r="G32" s="6" t="s">
        <v>73</v>
      </c>
    </row>
  </sheetData>
  <autoFilter ref="A1:G32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/>
  </sheetViews>
  <sheetFormatPr baseColWidth="10" defaultColWidth="9.140625" defaultRowHeight="15" x14ac:dyDescent="0.25"/>
  <cols>
    <col min="1" max="1" width="24" customWidth="1"/>
    <col min="2" max="2" width="20" customWidth="1"/>
    <col min="3" max="4" width="12" customWidth="1"/>
    <col min="5" max="5" width="14" customWidth="1"/>
    <col min="6" max="8" width="12" customWidth="1"/>
  </cols>
  <sheetData>
    <row r="1" spans="1:8" ht="18" x14ac:dyDescent="0.25">
      <c r="A1" s="12" t="s">
        <v>74</v>
      </c>
    </row>
    <row r="2" spans="1:8" ht="38.1" customHeight="1" x14ac:dyDescent="0.25">
      <c r="A2" s="23" t="s">
        <v>75</v>
      </c>
      <c r="B2" s="24"/>
      <c r="C2" s="24"/>
      <c r="D2" s="24"/>
      <c r="E2" s="24"/>
      <c r="F2" s="24"/>
      <c r="G2" s="24"/>
      <c r="H2" s="24"/>
    </row>
    <row r="4" spans="1:8" x14ac:dyDescent="0.25">
      <c r="A4" s="13" t="s">
        <v>76</v>
      </c>
    </row>
    <row r="5" spans="1:8" ht="27.95" customHeight="1" x14ac:dyDescent="0.25">
      <c r="A5" s="1" t="s">
        <v>2</v>
      </c>
      <c r="B5" s="1" t="s">
        <v>77</v>
      </c>
      <c r="C5" s="1" t="s">
        <v>78</v>
      </c>
      <c r="D5" s="1" t="s">
        <v>79</v>
      </c>
      <c r="E5" s="1" t="s">
        <v>80</v>
      </c>
      <c r="F5" s="1" t="s">
        <v>81</v>
      </c>
    </row>
    <row r="6" spans="1:8" x14ac:dyDescent="0.25">
      <c r="A6" s="14" t="s">
        <v>8</v>
      </c>
      <c r="B6" s="14" t="s">
        <v>82</v>
      </c>
      <c r="C6" s="15">
        <f>COUNTIF('Pull requests'!$C$2:$C$32,$A6)</f>
        <v>23</v>
      </c>
      <c r="D6" s="15">
        <f>COUNTIFS('Pull requests'!$C$2:$C$32,$A6,'Pull requests'!$F$2:$F$32,"Fusionado")</f>
        <v>22</v>
      </c>
      <c r="E6" s="15">
        <f>COUNTIFS('Pull requests'!$C$2:$C$32,$A6,'Pull requests'!$F$2:$F$32,"Cerrado sin fusionar")</f>
        <v>1</v>
      </c>
      <c r="F6" s="16">
        <f>IF($C$10=0,0,C6/$C$10)</f>
        <v>0.74193548387096775</v>
      </c>
    </row>
    <row r="7" spans="1:8" x14ac:dyDescent="0.25">
      <c r="A7" s="14" t="s">
        <v>40</v>
      </c>
      <c r="B7" s="14" t="s">
        <v>83</v>
      </c>
      <c r="C7" s="15">
        <f>COUNTIF('Pull requests'!$C$2:$C$32,$A7)</f>
        <v>5</v>
      </c>
      <c r="D7" s="15">
        <f>COUNTIFS('Pull requests'!$C$2:$C$32,$A7,'Pull requests'!$F$2:$F$32,"Fusionado")</f>
        <v>5</v>
      </c>
      <c r="E7" s="15">
        <f>COUNTIFS('Pull requests'!$C$2:$C$32,$A7,'Pull requests'!$F$2:$F$32,"Cerrado sin fusionar")</f>
        <v>0</v>
      </c>
      <c r="F7" s="16">
        <f>IF($C$10=0,0,C7/$C$10)</f>
        <v>0.16129032258064516</v>
      </c>
    </row>
    <row r="8" spans="1:8" x14ac:dyDescent="0.25">
      <c r="A8" s="14" t="s">
        <v>29</v>
      </c>
      <c r="B8" s="14" t="s">
        <v>84</v>
      </c>
      <c r="C8" s="15">
        <f>COUNTIF('Pull requests'!$C$2:$C$32,$A8)</f>
        <v>2</v>
      </c>
      <c r="D8" s="15">
        <f>COUNTIFS('Pull requests'!$C$2:$C$32,$A8,'Pull requests'!$F$2:$F$32,"Fusionado")</f>
        <v>2</v>
      </c>
      <c r="E8" s="15">
        <f>COUNTIFS('Pull requests'!$C$2:$C$32,$A8,'Pull requests'!$F$2:$F$32,"Cerrado sin fusionar")</f>
        <v>0</v>
      </c>
      <c r="F8" s="16">
        <f>IF($C$10=0,0,C8/$C$10)</f>
        <v>6.4516129032258063E-2</v>
      </c>
    </row>
    <row r="9" spans="1:8" x14ac:dyDescent="0.25">
      <c r="A9" s="14" t="s">
        <v>26</v>
      </c>
      <c r="B9" s="14" t="s">
        <v>85</v>
      </c>
      <c r="C9" s="15">
        <f>COUNTIF('Pull requests'!$C$2:$C$32,$A9)</f>
        <v>1</v>
      </c>
      <c r="D9" s="15">
        <f>COUNTIFS('Pull requests'!$C$2:$C$32,$A9,'Pull requests'!$F$2:$F$32,"Fusionado")</f>
        <v>1</v>
      </c>
      <c r="E9" s="15">
        <f>COUNTIFS('Pull requests'!$C$2:$C$32,$A9,'Pull requests'!$F$2:$F$32,"Cerrado sin fusionar")</f>
        <v>0</v>
      </c>
      <c r="F9" s="16">
        <f>IF($C$10=0,0,C9/$C$10)</f>
        <v>3.2258064516129031E-2</v>
      </c>
    </row>
    <row r="10" spans="1:8" x14ac:dyDescent="0.25">
      <c r="A10" s="17" t="s">
        <v>86</v>
      </c>
      <c r="B10" s="17"/>
      <c r="C10" s="18">
        <f>COUNT('Pull requests'!$A$2:$A$32)</f>
        <v>31</v>
      </c>
      <c r="D10" s="18">
        <f>COUNTIF('Pull requests'!$F$2:$F$32,"Fusionado")</f>
        <v>30</v>
      </c>
      <c r="E10" s="18">
        <f>COUNTIF('Pull requests'!$F$2:$F$32,"Cerrado sin fusionar")</f>
        <v>1</v>
      </c>
      <c r="F10" s="19">
        <f>SUM(F6:F9)</f>
        <v>1</v>
      </c>
    </row>
    <row r="11" spans="1:8" x14ac:dyDescent="0.25">
      <c r="A11" s="20" t="s">
        <v>87</v>
      </c>
      <c r="C11" s="20" t="str">
        <f>IF(SUM(C6:C9)=C10,"Cuadra","No cuadra")</f>
        <v>Cuadra</v>
      </c>
    </row>
    <row r="13" spans="1:8" x14ac:dyDescent="0.25">
      <c r="A13" s="13" t="s">
        <v>88</v>
      </c>
    </row>
    <row r="14" spans="1:8" x14ac:dyDescent="0.25">
      <c r="A14" s="1" t="s">
        <v>89</v>
      </c>
      <c r="B14" s="1" t="s">
        <v>90</v>
      </c>
      <c r="C14" s="1" t="s">
        <v>91</v>
      </c>
      <c r="D14" s="1" t="s">
        <v>92</v>
      </c>
    </row>
    <row r="15" spans="1:8" x14ac:dyDescent="0.25">
      <c r="A15" s="14" t="s">
        <v>93</v>
      </c>
      <c r="B15" s="21">
        <v>46266</v>
      </c>
      <c r="C15" s="21">
        <v>46296</v>
      </c>
      <c r="D15" s="15">
        <f>COUNTIFS('Pull requests'!$D$2:$D$32,"&gt;="&amp;B15,'Pull requests'!$D$2:$D$32,"&lt;"&amp;C15)</f>
        <v>10</v>
      </c>
    </row>
    <row r="16" spans="1:8" x14ac:dyDescent="0.25">
      <c r="A16" s="14" t="s">
        <v>94</v>
      </c>
      <c r="B16" s="21">
        <v>46296</v>
      </c>
      <c r="C16" s="21">
        <v>46327</v>
      </c>
      <c r="D16" s="15">
        <f>COUNTIFS('Pull requests'!$D$2:$D$32,"&gt;="&amp;B16,'Pull requests'!$D$2:$D$32,"&lt;"&amp;C16)</f>
        <v>21</v>
      </c>
    </row>
    <row r="17" spans="1:4" x14ac:dyDescent="0.25">
      <c r="A17" s="17" t="s">
        <v>86</v>
      </c>
      <c r="B17" s="22"/>
      <c r="C17" s="22"/>
      <c r="D17" s="18">
        <f>SUM(D15:D16)</f>
        <v>31</v>
      </c>
    </row>
    <row r="18" spans="1:4" x14ac:dyDescent="0.25">
      <c r="A18" s="20" t="s">
        <v>95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Pull requests</vt:lpstr>
      <vt:lpstr>Resumen</vt:lpstr>
      <vt:lpstr>'Pull requests'!Títulos_a_imprimir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EXEQUIEL SAMUEL ALVARADO NAVARRETE</cp:lastModifiedBy>
  <dcterms:created xsi:type="dcterms:W3CDTF">2026-10-16T07:31:32Z</dcterms:created>
  <dcterms:modified xsi:type="dcterms:W3CDTF">2026-10-16T07:31:50Z</dcterms:modified>
</cp:coreProperties>
</file>